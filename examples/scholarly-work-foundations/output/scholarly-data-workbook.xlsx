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aw" sheetId="2" state="visible" r:id="rId2"/>
    <sheet xmlns:r="http://schemas.openxmlformats.org/officeDocument/2006/relationships" name="Lookup" sheetId="3" state="visible" r:id="rId3"/>
    <sheet xmlns:r="http://schemas.openxmlformats.org/officeDocument/2006/relationships" name="Cleaned" sheetId="4" state="visible" r:id="rId4"/>
    <sheet xmlns:r="http://schemas.openxmlformats.org/officeDocument/2006/relationships" name="Transform Log" sheetId="5" state="visible" r:id="rId5"/>
    <sheet xmlns:r="http://schemas.openxmlformats.org/officeDocument/2006/relationships" name="Pivot Check" sheetId="6" state="visible" r:id="rId6"/>
    <sheet xmlns:r="http://schemas.openxmlformats.org/officeDocument/2006/relationships" name="Chart Data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Known Problems" sheetId="9" state="visible" r:id="rId9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17324D"/>
      <sz val="10"/>
    </font>
    <font>
      <name val="Aptos"/>
      <b val="1"/>
      <color rgb="00FFFFFF"/>
    </font>
    <font>
      <name val="Aptos"/>
      <b val="1"/>
      <color rgb="0017324D"/>
    </font>
    <font>
      <name val="Aptos"/>
      <color rgb="007A5200"/>
    </font>
    <font>
      <name val="Aptos"/>
      <i val="1"/>
      <color rgb="005D6874"/>
    </font>
  </fonts>
  <fills count="7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DCEAF7"/>
      </patternFill>
    </fill>
    <fill>
      <patternFill patternType="solid">
        <fgColor rgb="002F75B5"/>
      </patternFill>
    </fill>
    <fill>
      <patternFill patternType="solid">
        <fgColor rgb="00FFF2CC"/>
      </patternFill>
    </fill>
    <fill>
      <patternFill patternType="solid">
        <fgColor rgb="00F3F5F7"/>
      </patternFill>
    </fill>
  </fills>
  <borders count="2">
    <border>
      <left/>
      <right/>
      <top/>
      <bottom/>
      <diagonal/>
    </border>
    <border>
      <left style="thin">
        <color rgb="00CBD3DA"/>
      </left>
      <right style="thin">
        <color rgb="00CBD3DA"/>
      </right>
      <top style="thin">
        <color rgb="00CBD3DA"/>
      </top>
      <bottom style="thin">
        <color rgb="00CBD3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49" fontId="0" fillId="0" borderId="1" applyAlignment="1" pivotButton="0" quotePrefix="0" xfId="0">
      <alignment vertical="center" wrapText="1"/>
    </xf>
    <xf numFmtId="1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vertical="center" wrapText="1"/>
    </xf>
    <xf numFmtId="0" fontId="5" fillId="5" borderId="0" applyAlignment="1" pivotButton="0" quotePrefix="0" xfId="0">
      <alignment vertical="center" wrapText="1"/>
    </xf>
    <xf numFmtId="0" fontId="6" fillId="6" borderId="0" applyAlignment="1" pivotButton="0" quotePrefix="0" xfId="0">
      <alignment vertical="center" wrapText="1"/>
    </xf>
  </cellXfs>
  <cellStyles count="1">
    <cellStyle name="Normal" xfId="0" builtinId="0" hidden="0"/>
  </cellStyles>
  <dxfs count="2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Normalized object types (n = 8)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 Data'!$A$5:$A$7</f>
            </numRef>
          </cat>
          <val>
            <numRef>
              <f>'Chart Data'!$B$5:$B$7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object type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Retained records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3</row>
      <rowOff>0</rowOff>
    </from>
    <ext cx="46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ReadmeGuide" displayName="ReadmeGuide" ref="A4:B14" headerRowCount="1">
  <autoFilter ref="A4:B14"/>
  <tableColumns count="2">
    <tableColumn id="1" name="Field"/>
    <tableColumn id="2" name="Guidan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awRecords" displayName="RawRecords" ref="A4:I14" headerRowCount="1">
  <autoFilter ref="A4:I14"/>
  <tableColumns count="9">
    <tableColumn id="1" name="record_id"/>
    <tableColumn id="2" name="title"/>
    <tableColumn id="3" name="creator"/>
    <tableColumn id="4" name="place_raw"/>
    <tableColumn id="5" name="date_raw"/>
    <tableColumn id="6" name="object_type"/>
    <tableColumn id="7" name="views"/>
    <tableColumn id="8" name="collection_code"/>
    <tableColumn id="9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laceLookup" displayName="PlaceLookup" ref="A4:D11" headerRowCount="1">
  <autoFilter ref="A4:D11"/>
  <tableColumns count="4">
    <tableColumn id="1" name="place_raw"/>
    <tableColumn id="2" name="place_normalized"/>
    <tableColumn id="3" name="match_status"/>
    <tableColumn id="4" name="decision_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CleanedRecords" displayName="CleanedRecords" ref="A4:O12" headerRowCount="1">
  <autoFilter ref="A4:O12"/>
  <tableColumns count="15">
    <tableColumn id="1" name="record_id"/>
    <tableColumn id="2" name="title"/>
    <tableColumn id="3" name="creator_raw"/>
    <tableColumn id="4" name="creator_clean"/>
    <tableColumn id="5" name="place_raw"/>
    <tableColumn id="6" name="place_normalized"/>
    <tableColumn id="7" name="object_type_normalized"/>
    <tableColumn id="8" name="date_display"/>
    <tableColumn id="9" name="date_iso"/>
    <tableColumn id="10" name="date_precision"/>
    <tableColumn id="11" name="date_status"/>
    <tableColumn id="12" name="views"/>
    <tableColumn id="13" name="views_status"/>
    <tableColumn id="14" name="collection_code"/>
    <tableColumn id="15" name="validatio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ransformationLog" displayName="TransformationLog" ref="A4:F14" headerRowCount="1">
  <autoFilter ref="A4:F14"/>
  <tableColumns count="6">
    <tableColumn id="1" name="Step"/>
    <tableColumn id="2" name="Operation"/>
    <tableColumn id="3" name="Fields"/>
    <tableColumn id="4" name="Reason"/>
    <tableColumn id="5" name="Check"/>
    <tableColumn id="6" name="Failure m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ivotExpected" displayName="PivotExpected" ref="A4:D8" headerRowCount="1">
  <autoFilter ref="A4:D8"/>
  <tableColumns count="4">
    <tableColumn id="1" name="object_type_normalized"/>
    <tableColumn id="2" name="Formula count"/>
    <tableColumn id="3" name="Share"/>
    <tableColumn id="4" name="Independent manual cou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hartValues" displayName="ChartValues" ref="A4:B7" headerRowCount="1">
  <autoFilter ref="A4:B7"/>
  <tableColumns count="2">
    <tableColumn id="1" name="Normalized object type"/>
    <tableColumn id="2" name="Record coun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ValidationChecks" displayName="ValidationChecks" ref="A4:D11" headerRowCount="1">
  <autoFilter ref="A4:D11"/>
  <tableColumns count="4">
    <tableColumn id="1" name="Check"/>
    <tableColumn id="2" name="Expected"/>
    <tableColumn id="3" name="Calculated"/>
    <tableColumn id="4" name="Statu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KnownProblems" displayName="KnownProblems" ref="A4:D13" headerRowCount="1">
  <autoFilter ref="A4:D13"/>
  <tableColumns count="4">
    <tableColumn id="1" name="Problem"/>
    <tableColumn id="2" name="Where"/>
    <tableColumn id="3" name="Required response"/>
    <tableColumn id="4" name="Do not 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7.xml" Id="rId2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tabColor rgb="002F75B5"/>
    <outlinePr summaryBelow="1" summaryRight="1"/>
    <pageSetUpPr fitToPage="1"/>
  </sheetPr>
  <dimension ref="A1:H14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92" customWidth="1" min="2" max="2"/>
  </cols>
  <sheetData>
    <row r="1" ht="28" customHeight="1">
      <c r="A1" s="1" t="inlineStr">
        <is>
          <t>Scholarly-data teaching workbook</t>
        </is>
      </c>
    </row>
    <row r="2" ht="34" customHeight="1">
      <c r="A2" s="2" t="inlineStr">
        <is>
          <t>Version 1.0 • Original fictional teaching data • CC BY 4.0 • 2 September 2026</t>
        </is>
      </c>
    </row>
    <row r="4" ht="32" customHeight="1">
      <c r="A4" s="3" t="inlineStr">
        <is>
          <t>Field</t>
        </is>
      </c>
      <c r="B4" s="3" t="inlineStr">
        <is>
          <t>Guidance</t>
        </is>
      </c>
    </row>
    <row r="5">
      <c r="A5" s="4" t="inlineStr">
        <is>
          <t>Purpose</t>
        </is>
      </c>
      <c r="B5" s="5" t="inlineStr">
        <is>
          <t>Practice controlled Excel import, repeatable Power Query transformations, PivotTables, validation and transparent charting.</t>
        </is>
      </c>
    </row>
    <row r="6">
      <c r="A6" s="4" t="inlineStr">
        <is>
          <t>Research question</t>
        </is>
      </c>
      <c r="B6" s="5" t="inlineStr">
        <is>
          <t>How do documented normalization choices change what this small fictional catalogue allows us to compare?</t>
        </is>
      </c>
    </row>
    <row r="7">
      <c r="A7" s="4" t="inlineStr">
        <is>
          <t>Start</t>
        </is>
      </c>
      <c r="B7" s="5" t="inlineStr">
        <is>
          <t>Import raw/postcards-messy.csv into a copy. Preserve Raw and record every type and exclusion decision.</t>
        </is>
      </c>
    </row>
    <row r="8">
      <c r="A8" s="4" t="inlineStr">
        <is>
          <t>Raw</t>
        </is>
      </c>
      <c r="B8" s="5" t="inlineStr">
        <is>
          <t>Ten unchanged source rows, including one exact duplicate and one test record.</t>
        </is>
      </c>
    </row>
    <row r="9">
      <c r="A9" s="4" t="inlineStr">
        <is>
          <t>Cleaned</t>
        </is>
      </c>
      <c r="B9" s="5" t="inlineStr">
        <is>
          <t>Eight accepted rows with source fields, normalized fields, status columns and validation notes.</t>
        </is>
      </c>
    </row>
    <row r="10">
      <c r="A10" s="4" t="inlineStr">
        <is>
          <t>Pivot Check</t>
        </is>
      </c>
      <c r="B10" s="5" t="inlineStr">
        <is>
          <t>Formula-backed expected counts. Create your own native PivotTable from Cleaned and compare it here.</t>
        </is>
      </c>
    </row>
    <row r="11">
      <c r="A11" s="4" t="inlineStr">
        <is>
          <t>Chart Data</t>
        </is>
      </c>
      <c r="B11" s="5" t="inlineStr">
        <is>
          <t>Formula-linked helper range and a native chart with an explicit denominator, source note and text alternative.</t>
        </is>
      </c>
    </row>
    <row r="12">
      <c r="A12" s="4" t="inlineStr">
        <is>
          <t>Validation</t>
        </is>
      </c>
      <c r="B12" s="5" t="inlineStr">
        <is>
          <t>Independent totals and known-value checks. Formula cells are intentionally visible and recalculate when opened.</t>
        </is>
      </c>
    </row>
    <row r="13">
      <c r="A13" s="4" t="inlineStr">
        <is>
          <t>Interface boundary</t>
        </is>
      </c>
      <c r="B13" s="5" t="inlineStr">
        <is>
          <t>Excel and Power Query labels vary by platform, locale (regional settings for parsing and display) and version. Outputs and checks are the stable requirement.</t>
        </is>
      </c>
    </row>
    <row r="14">
      <c r="A14" s="4" t="inlineStr">
        <is>
          <t>Identifier fixture</t>
        </is>
      </c>
      <c r="B14" s="5" t="inlineStr">
        <is>
          <t>Raw and Cleaned identifiers are stored as text. In your own import, set record_id to Text before any automatic numeric conversion.</t>
        </is>
      </c>
    </row>
  </sheetData>
  <mergeCells count="2">
    <mergeCell ref="A2:H2"/>
    <mergeCell ref="A1:H1"/>
  </mergeCells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002F75B5"/>
    <outlinePr summaryBelow="1" summaryRight="1"/>
    <pageSetUpPr fitToPage="1"/>
  </sheetPr>
  <dimension ref="A1:I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34" customWidth="1" min="2" max="2"/>
    <col width="22" customWidth="1" min="3" max="3"/>
    <col width="24" customWidth="1" min="4" max="4"/>
    <col width="16" customWidth="1" min="5" max="5"/>
    <col width="17" customWidth="1" min="6" max="6"/>
    <col width="13" customWidth="1" min="7" max="7"/>
    <col width="17" customWidth="1" min="8" max="8"/>
    <col width="38" customWidth="1" min="9" max="9"/>
  </cols>
  <sheetData>
    <row r="1" ht="28" customHeight="1">
      <c r="A1" s="1" t="inlineStr">
        <is>
          <t>Raw — immutable import layer</t>
        </is>
      </c>
    </row>
    <row r="2" ht="34" customHeight="1">
      <c r="A2" s="2" t="inlineStr">
        <is>
          <t>Do not edit these ten records. Re-import from raw/postcards-messy.csv when testing delimiter, encoding, identifier and locale settings.</t>
        </is>
      </c>
    </row>
    <row r="4" ht="32" customHeight="1">
      <c r="A4" s="3" t="inlineStr">
        <is>
          <t>record_id</t>
        </is>
      </c>
      <c r="B4" s="3" t="inlineStr">
        <is>
          <t>title</t>
        </is>
      </c>
      <c r="C4" s="3" t="inlineStr">
        <is>
          <t>creator</t>
        </is>
      </c>
      <c r="D4" s="3" t="inlineStr">
        <is>
          <t>place_raw</t>
        </is>
      </c>
      <c r="E4" s="3" t="inlineStr">
        <is>
          <t>date_raw</t>
        </is>
      </c>
      <c r="F4" s="3" t="inlineStr">
        <is>
          <t>object_type</t>
        </is>
      </c>
      <c r="G4" s="3" t="inlineStr">
        <is>
          <t>views</t>
        </is>
      </c>
      <c r="H4" s="3" t="inlineStr">
        <is>
          <t>collection_code</t>
        </is>
      </c>
      <c r="I4" s="3" t="inlineStr">
        <is>
          <t>notes</t>
        </is>
      </c>
    </row>
    <row r="5">
      <c r="A5" s="6" t="inlineStr">
        <is>
          <t>00101</t>
        </is>
      </c>
      <c r="B5" s="5" t="inlineStr">
        <is>
          <t xml:space="preserve"> Razglednica Prešernovega trga </t>
        </is>
      </c>
      <c r="C5" s="5" t="inlineStr">
        <is>
          <t>Marija K.</t>
        </is>
      </c>
      <c r="D5" s="5" t="inlineStr">
        <is>
          <t xml:space="preserve">Ljubljana </t>
        </is>
      </c>
      <c r="E5" s="5" t="inlineStr">
        <is>
          <t>1908-05</t>
        </is>
      </c>
      <c r="F5" s="5" t="inlineStr">
        <is>
          <t>Photograph</t>
        </is>
      </c>
      <c r="G5" s="5" t="inlineStr">
        <is>
          <t>1.204</t>
        </is>
      </c>
      <c r="H5" s="5" t="inlineStr">
        <is>
          <t>A-01</t>
        </is>
      </c>
      <c r="I5" s="5" t="inlineStr">
        <is>
          <t>leading and trailing spaces</t>
        </is>
      </c>
    </row>
    <row r="6">
      <c r="A6" s="6" t="inlineStr">
        <is>
          <t>00102</t>
        </is>
      </c>
      <c r="B6" s="5" t="inlineStr">
        <is>
          <t>Railway station</t>
        </is>
      </c>
      <c r="C6" s="5" t="inlineStr">
        <is>
          <t>J. Novak</t>
        </is>
      </c>
      <c r="D6" s="5" t="inlineStr">
        <is>
          <t>Celje</t>
        </is>
      </c>
      <c r="E6" s="5" t="inlineStr">
        <is>
          <t>c. 1910</t>
        </is>
      </c>
      <c r="F6" s="5" t="inlineStr">
        <is>
          <t>photo</t>
        </is>
      </c>
      <c r="G6" s="5" t="inlineStr">
        <is>
          <t>850</t>
        </is>
      </c>
      <c r="H6" s="5" t="inlineStr">
        <is>
          <t>A-01</t>
        </is>
      </c>
      <c r="I6" s="5" t="inlineStr">
        <is>
          <t>approximate date</t>
        </is>
      </c>
    </row>
    <row r="7">
      <c r="A7" s="6" t="inlineStr">
        <is>
          <t>00103</t>
        </is>
      </c>
      <c r="B7" s="5" t="inlineStr">
        <is>
          <t>Harbour view</t>
        </is>
      </c>
      <c r="C7" s="5" t="inlineStr">
        <is>
          <t>Atelier Sole</t>
        </is>
      </c>
      <c r="D7" s="5" t="inlineStr">
        <is>
          <t>Koper / Capodistria</t>
        </is>
      </c>
      <c r="E7" s="5" t="inlineStr">
        <is>
          <t>1912/06/14</t>
        </is>
      </c>
      <c r="F7" s="5" t="inlineStr">
        <is>
          <t>Postcard</t>
        </is>
      </c>
      <c r="G7" s="5" t="inlineStr">
        <is>
          <t>1 125</t>
        </is>
      </c>
      <c r="H7" s="5" t="inlineStr">
        <is>
          <t>B-02</t>
        </is>
      </c>
      <c r="I7" s="5" t="inlineStr">
        <is>
          <t>bilingual place label</t>
        </is>
      </c>
    </row>
    <row r="8">
      <c r="A8" s="6" t="inlineStr">
        <is>
          <t>00104</t>
        </is>
      </c>
      <c r="B8" s="5" t="inlineStr">
        <is>
          <t>Castle courtyard</t>
        </is>
      </c>
      <c r="C8" s="5" t="inlineStr"/>
      <c r="D8" s="5" t="inlineStr">
        <is>
          <t>Škofja Loka</t>
        </is>
      </c>
      <c r="E8" s="5" t="inlineStr">
        <is>
          <t>1911</t>
        </is>
      </c>
      <c r="F8" s="5" t="inlineStr">
        <is>
          <t>postcard</t>
        </is>
      </c>
      <c r="G8" s="5" t="inlineStr"/>
      <c r="H8" s="5" t="inlineStr">
        <is>
          <t>B-02</t>
        </is>
      </c>
      <c r="I8" s="5" t="inlineStr">
        <is>
          <t>missing creator and views</t>
        </is>
      </c>
    </row>
    <row r="9">
      <c r="A9" s="6" t="inlineStr">
        <is>
          <t>00105</t>
        </is>
      </c>
      <c r="B9" s="5" t="inlineStr">
        <is>
          <t>Market day</t>
        </is>
      </c>
      <c r="C9" s="5" t="inlineStr">
        <is>
          <t>Ana Kovač</t>
        </is>
      </c>
      <c r="D9" s="5" t="inlineStr">
        <is>
          <t>Maribor</t>
        </is>
      </c>
      <c r="E9" s="5" t="inlineStr">
        <is>
          <t>14. 2. 1913</t>
        </is>
      </c>
      <c r="F9" s="5" t="inlineStr">
        <is>
          <t>photograph</t>
        </is>
      </c>
      <c r="G9" s="5" t="inlineStr">
        <is>
          <t>980</t>
        </is>
      </c>
      <c r="H9" s="5" t="inlineStr">
        <is>
          <t>A-01</t>
        </is>
      </c>
      <c r="I9" s="5" t="inlineStr">
        <is>
          <t>day-first date</t>
        </is>
      </c>
    </row>
    <row r="10">
      <c r="A10" s="6" t="inlineStr">
        <is>
          <t>00105</t>
        </is>
      </c>
      <c r="B10" s="5" t="inlineStr">
        <is>
          <t>Market day</t>
        </is>
      </c>
      <c r="C10" s="5" t="inlineStr">
        <is>
          <t>Ana Kovač</t>
        </is>
      </c>
      <c r="D10" s="5" t="inlineStr">
        <is>
          <t>Maribor</t>
        </is>
      </c>
      <c r="E10" s="5" t="inlineStr">
        <is>
          <t>14. 2. 1913</t>
        </is>
      </c>
      <c r="F10" s="5" t="inlineStr">
        <is>
          <t>photograph</t>
        </is>
      </c>
      <c r="G10" s="5" t="inlineStr">
        <is>
          <t>980</t>
        </is>
      </c>
      <c r="H10" s="5" t="inlineStr">
        <is>
          <t>A-01</t>
        </is>
      </c>
      <c r="I10" s="5" t="inlineStr">
        <is>
          <t>day-first date</t>
        </is>
      </c>
    </row>
    <row r="11">
      <c r="A11" s="6" t="inlineStr">
        <is>
          <t>00106</t>
        </is>
      </c>
      <c r="B11" s="5" t="inlineStr">
        <is>
          <t>Bridge at dusk</t>
        </is>
      </c>
      <c r="C11" s="5" t="inlineStr">
        <is>
          <t>Unknown</t>
        </is>
      </c>
      <c r="D11" s="5" t="inlineStr">
        <is>
          <t>Laibach</t>
        </is>
      </c>
      <c r="E11" s="5" t="inlineStr">
        <is>
          <t>1914-13-40</t>
        </is>
      </c>
      <c r="F11" s="5" t="inlineStr">
        <is>
          <t>razglednica</t>
        </is>
      </c>
      <c r="G11" s="5" t="inlineStr">
        <is>
          <t>730</t>
        </is>
      </c>
      <c r="H11" s="5" t="inlineStr">
        <is>
          <t>C-03</t>
        </is>
      </c>
      <c r="I11" s="5" t="inlineStr">
        <is>
          <t>impossible date and historical place label</t>
        </is>
      </c>
    </row>
    <row r="12">
      <c r="A12" s="6" t="inlineStr">
        <is>
          <t>TEST-01</t>
        </is>
      </c>
      <c r="B12" s="5" t="inlineStr">
        <is>
          <t>Calibration card</t>
        </is>
      </c>
      <c r="C12" s="5" t="inlineStr">
        <is>
          <t>Staff</t>
        </is>
      </c>
      <c r="D12" s="5" t="inlineStr">
        <is>
          <t>Ljubljana</t>
        </is>
      </c>
      <c r="E12" s="5" t="inlineStr">
        <is>
          <t>2026-01-01</t>
        </is>
      </c>
      <c r="F12" s="5" t="inlineStr">
        <is>
          <t>test</t>
        </is>
      </c>
      <c r="G12" s="5" t="inlineStr">
        <is>
          <t>0</t>
        </is>
      </c>
      <c r="H12" s="5" t="inlineStr">
        <is>
          <t>TEST</t>
        </is>
      </c>
      <c r="I12" s="5" t="inlineStr">
        <is>
          <t>non-collection test row</t>
        </is>
      </c>
    </row>
    <row r="13">
      <c r="A13" s="6" t="inlineStr">
        <is>
          <t>00107</t>
        </is>
      </c>
      <c r="B13" s="5" t="inlineStr">
        <is>
          <t>Untitled fragment</t>
        </is>
      </c>
      <c r="C13" s="5" t="inlineStr">
        <is>
          <t>N. N.</t>
        </is>
      </c>
      <c r="D13" s="5" t="inlineStr">
        <is>
          <t>Ptuj</t>
        </is>
      </c>
      <c r="E13" s="5" t="inlineStr"/>
      <c r="F13" s="5" t="inlineStr">
        <is>
          <t xml:space="preserve"> </t>
        </is>
      </c>
      <c r="G13" s="5" t="inlineStr">
        <is>
          <t>14</t>
        </is>
      </c>
      <c r="H13" s="5" t="inlineStr">
        <is>
          <t>C-03</t>
        </is>
      </c>
      <c r="I13" s="5" t="inlineStr">
        <is>
          <t>blank object type and date</t>
        </is>
      </c>
    </row>
    <row r="14">
      <c r="A14" s="6" t="inlineStr">
        <is>
          <t>00009</t>
        </is>
      </c>
      <c r="B14" s="5" t="inlineStr">
        <is>
          <t>River embankment</t>
        </is>
      </c>
      <c r="C14" s="5" t="inlineStr">
        <is>
          <t>M. Horvat</t>
        </is>
      </c>
      <c r="D14" s="5" t="inlineStr">
        <is>
          <t>Ljubljana</t>
        </is>
      </c>
      <c r="E14" s="5" t="inlineStr">
        <is>
          <t>1909?</t>
        </is>
      </c>
      <c r="F14" s="5" t="inlineStr">
        <is>
          <t>razglednica</t>
        </is>
      </c>
      <c r="G14" s="5" t="inlineStr">
        <is>
          <t>502</t>
        </is>
      </c>
      <c r="H14" s="5" t="inlineStr">
        <is>
          <t>A-01</t>
        </is>
      </c>
      <c r="I14" s="5" t="inlineStr">
        <is>
          <t>identifier must retain leading zeros</t>
        </is>
      </c>
    </row>
  </sheetData>
  <mergeCells count="2">
    <mergeCell ref="A1:I1"/>
    <mergeCell ref="A2:I2"/>
  </mergeCells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2F75B5"/>
    <outlinePr summaryBelow="1" summaryRight="1"/>
    <pageSetUpPr fitToPage="1"/>
  </sheetPr>
  <dimension ref="A1:D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5" customWidth="1" min="2" max="2"/>
    <col width="16" customWidth="1" min="3" max="3"/>
    <col width="68" customWidth="1" min="4" max="4"/>
  </cols>
  <sheetData>
    <row r="1" ht="28" customHeight="1">
      <c r="A1" s="1" t="inlineStr">
        <is>
          <t>Lookup — reviewed place-name mapping</t>
        </is>
      </c>
    </row>
    <row r="2" ht="34" customHeight="1">
      <c r="A2" s="2" t="inlineStr">
        <is>
          <t>The lookup preserves each source label. Reviewed grouping values support this exercise; they are not a universal authority file.</t>
        </is>
      </c>
    </row>
    <row r="4" ht="32" customHeight="1">
      <c r="A4" s="3" t="inlineStr">
        <is>
          <t>place_raw</t>
        </is>
      </c>
      <c r="B4" s="3" t="inlineStr">
        <is>
          <t>place_normalized</t>
        </is>
      </c>
      <c r="C4" s="3" t="inlineStr">
        <is>
          <t>match_status</t>
        </is>
      </c>
      <c r="D4" s="3" t="inlineStr">
        <is>
          <t>decision_note</t>
        </is>
      </c>
    </row>
    <row r="5">
      <c r="A5" s="5" t="inlineStr">
        <is>
          <t>Ljubljana</t>
        </is>
      </c>
      <c r="B5" s="5" t="inlineStr">
        <is>
          <t>Ljubljana</t>
        </is>
      </c>
      <c r="C5" s="5" t="inlineStr">
        <is>
          <t>exact</t>
        </is>
      </c>
      <c r="D5" s="5" t="inlineStr">
        <is>
          <t>Whitespace is removed but source value is retained.</t>
        </is>
      </c>
    </row>
    <row r="6">
      <c r="A6" s="5" t="inlineStr">
        <is>
          <t>Celje</t>
        </is>
      </c>
      <c r="B6" s="5" t="inlineStr">
        <is>
          <t>Celje</t>
        </is>
      </c>
      <c r="C6" s="5" t="inlineStr">
        <is>
          <t>exact</t>
        </is>
      </c>
      <c r="D6" s="5" t="inlineStr">
        <is>
          <t>No semantic change.</t>
        </is>
      </c>
    </row>
    <row r="7">
      <c r="A7" s="5" t="inlineStr">
        <is>
          <t>Koper / Capodistria</t>
        </is>
      </c>
      <c r="B7" s="5" t="inlineStr">
        <is>
          <t>Koper</t>
        </is>
      </c>
      <c r="C7" s="5" t="inlineStr">
        <is>
          <t>reviewed</t>
        </is>
      </c>
      <c r="D7" s="5" t="inlineStr">
        <is>
          <t>Normalized grouping uses Koper; bilingual source label is retained.</t>
        </is>
      </c>
    </row>
    <row r="8">
      <c r="A8" s="5" t="inlineStr">
        <is>
          <t>Škofja Loka</t>
        </is>
      </c>
      <c r="B8" s="5" t="inlineStr">
        <is>
          <t>Škofja Loka</t>
        </is>
      </c>
      <c r="C8" s="5" t="inlineStr">
        <is>
          <t>exact</t>
        </is>
      </c>
      <c r="D8" s="5" t="inlineStr">
        <is>
          <t>No semantic change.</t>
        </is>
      </c>
    </row>
    <row r="9">
      <c r="A9" s="5" t="inlineStr">
        <is>
          <t>Maribor</t>
        </is>
      </c>
      <c r="B9" s="5" t="inlineStr">
        <is>
          <t>Maribor</t>
        </is>
      </c>
      <c r="C9" s="5" t="inlineStr">
        <is>
          <t>exact</t>
        </is>
      </c>
      <c r="D9" s="5" t="inlineStr">
        <is>
          <t>No semantic change.</t>
        </is>
      </c>
    </row>
    <row r="10">
      <c r="A10" s="5" t="inlineStr">
        <is>
          <t>Laibach</t>
        </is>
      </c>
      <c r="B10" s="5" t="inlineStr">
        <is>
          <t>Ljubljana</t>
        </is>
      </c>
      <c r="C10" s="5" t="inlineStr">
        <is>
          <t>reviewed</t>
        </is>
      </c>
      <c r="D10" s="5" t="inlineStr">
        <is>
          <t>Historical German label is retained in place_raw; normalized grouping uses Ljubljana.</t>
        </is>
      </c>
    </row>
    <row r="11">
      <c r="A11" s="5" t="inlineStr">
        <is>
          <t>Ptuj</t>
        </is>
      </c>
      <c r="B11" s="5" t="inlineStr">
        <is>
          <t>Ptuj</t>
        </is>
      </c>
      <c r="C11" s="5" t="inlineStr">
        <is>
          <t>exact</t>
        </is>
      </c>
      <c r="D11" s="5" t="inlineStr">
        <is>
          <t>No semantic change.</t>
        </is>
      </c>
    </row>
  </sheetData>
  <mergeCells count="2">
    <mergeCell ref="A1:D1"/>
    <mergeCell ref="A2:D2"/>
  </mergeCells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2F75B5"/>
    <outlinePr summaryBelow="1" summaryRight="1"/>
    <pageSetUpPr fitToPage="1"/>
  </sheetPr>
  <dimension ref="A1:O12"/>
  <sheetViews>
    <sheetView showGridLines="0"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18" customWidth="1" min="3" max="3"/>
    <col width="18" customWidth="1" min="4" max="4"/>
    <col width="25" customWidth="1" min="5" max="5"/>
    <col width="20" customWidth="1" min="6" max="6"/>
    <col width="20" customWidth="1" min="7" max="7"/>
    <col width="16" customWidth="1" min="8" max="8"/>
    <col width="15" customWidth="1" min="9" max="9"/>
    <col width="14" customWidth="1" min="10" max="10"/>
    <col width="14" customWidth="1" min="11" max="11"/>
    <col width="12" customWidth="1" min="12" max="12"/>
    <col width="23" customWidth="1" min="13" max="13"/>
    <col width="16" customWidth="1" min="14" max="14"/>
    <col width="42" customWidth="1" min="15" max="15"/>
  </cols>
  <sheetData>
    <row r="1" ht="28" customHeight="1">
      <c r="A1" s="1" t="inlineStr">
        <is>
          <t>Cleaned — documented analytical layer</t>
        </is>
      </c>
    </row>
    <row r="2" ht="34" customHeight="1">
      <c r="A2" s="2" t="inlineStr">
        <is>
          <t>One defensible interpretation for the stated exercise. Keep source expressions beside normalized values and leave uncertainty visible.</t>
        </is>
      </c>
    </row>
    <row r="4" ht="32" customHeight="1">
      <c r="A4" s="3" t="inlineStr">
        <is>
          <t>record_id</t>
        </is>
      </c>
      <c r="B4" s="3" t="inlineStr">
        <is>
          <t>title</t>
        </is>
      </c>
      <c r="C4" s="3" t="inlineStr">
        <is>
          <t>creator_raw</t>
        </is>
      </c>
      <c r="D4" s="3" t="inlineStr">
        <is>
          <t>creator_clean</t>
        </is>
      </c>
      <c r="E4" s="3" t="inlineStr">
        <is>
          <t>place_raw</t>
        </is>
      </c>
      <c r="F4" s="3" t="inlineStr">
        <is>
          <t>place_normalized</t>
        </is>
      </c>
      <c r="G4" s="3" t="inlineStr">
        <is>
          <t>object_type_normalized</t>
        </is>
      </c>
      <c r="H4" s="3" t="inlineStr">
        <is>
          <t>date_display</t>
        </is>
      </c>
      <c r="I4" s="3" t="inlineStr">
        <is>
          <t>date_iso</t>
        </is>
      </c>
      <c r="J4" s="3" t="inlineStr">
        <is>
          <t>date_precision</t>
        </is>
      </c>
      <c r="K4" s="3" t="inlineStr">
        <is>
          <t>date_status</t>
        </is>
      </c>
      <c r="L4" s="3" t="inlineStr">
        <is>
          <t>views</t>
        </is>
      </c>
      <c r="M4" s="3" t="inlineStr">
        <is>
          <t>views_status</t>
        </is>
      </c>
      <c r="N4" s="3" t="inlineStr">
        <is>
          <t>collection_code</t>
        </is>
      </c>
      <c r="O4" s="3" t="inlineStr">
        <is>
          <t>validation_note</t>
        </is>
      </c>
    </row>
    <row r="5">
      <c r="A5" s="6" t="inlineStr">
        <is>
          <t>00101</t>
        </is>
      </c>
      <c r="B5" s="5" t="inlineStr">
        <is>
          <t>Razglednica Prešernovega trga</t>
        </is>
      </c>
      <c r="C5" s="5" t="inlineStr">
        <is>
          <t>Marija K.</t>
        </is>
      </c>
      <c r="D5" s="5" t="inlineStr">
        <is>
          <t>Marija K.</t>
        </is>
      </c>
      <c r="E5" s="5" t="inlineStr">
        <is>
          <t>Ljubljana</t>
        </is>
      </c>
      <c r="F5" s="5" t="inlineStr">
        <is>
          <t>Ljubljana</t>
        </is>
      </c>
      <c r="G5" s="5" t="inlineStr">
        <is>
          <t>photograph</t>
        </is>
      </c>
      <c r="H5" s="5" t="inlineStr">
        <is>
          <t>1908-05</t>
        </is>
      </c>
      <c r="I5" s="5" t="inlineStr">
        <is>
          <t>1908-05</t>
        </is>
      </c>
      <c r="J5" s="5" t="inlineStr">
        <is>
          <t>month</t>
        </is>
      </c>
      <c r="K5" s="5" t="inlineStr">
        <is>
          <t>valid</t>
        </is>
      </c>
      <c r="L5" s="7" t="inlineStr">
        <is>
          <t>1204</t>
        </is>
      </c>
      <c r="M5" s="5" t="inlineStr">
        <is>
          <t>parsed thousands separator</t>
        </is>
      </c>
      <c r="N5" s="5" t="inlineStr">
        <is>
          <t>A-01</t>
        </is>
      </c>
      <c r="O5" s="5" t="inlineStr">
        <is>
          <t>Whitespace trimmed</t>
        </is>
      </c>
    </row>
    <row r="6">
      <c r="A6" s="6" t="inlineStr">
        <is>
          <t>00102</t>
        </is>
      </c>
      <c r="B6" s="5" t="inlineStr">
        <is>
          <t>Railway station</t>
        </is>
      </c>
      <c r="C6" s="5" t="inlineStr">
        <is>
          <t>J. Novak</t>
        </is>
      </c>
      <c r="D6" s="5" t="inlineStr">
        <is>
          <t>J. Novak</t>
        </is>
      </c>
      <c r="E6" s="5" t="inlineStr">
        <is>
          <t>Celje</t>
        </is>
      </c>
      <c r="F6" s="5" t="inlineStr">
        <is>
          <t>Celje</t>
        </is>
      </c>
      <c r="G6" s="5" t="inlineStr">
        <is>
          <t>photograph</t>
        </is>
      </c>
      <c r="H6" s="5" t="inlineStr">
        <is>
          <t>c. 1910</t>
        </is>
      </c>
      <c r="I6" s="5" t="inlineStr">
        <is>
          <t>1910</t>
        </is>
      </c>
      <c r="J6" s="5" t="inlineStr">
        <is>
          <t>year</t>
        </is>
      </c>
      <c r="K6" s="5" t="inlineStr">
        <is>
          <t>approximate</t>
        </is>
      </c>
      <c r="L6" s="7" t="inlineStr">
        <is>
          <t>850</t>
        </is>
      </c>
      <c r="M6" s="5" t="inlineStr">
        <is>
          <t>valid integer</t>
        </is>
      </c>
      <c r="N6" s="5" t="inlineStr">
        <is>
          <t>A-01</t>
        </is>
      </c>
      <c r="O6" s="5" t="inlineStr">
        <is>
          <t>Approximation retained in display field</t>
        </is>
      </c>
    </row>
    <row r="7">
      <c r="A7" s="6" t="inlineStr">
        <is>
          <t>00103</t>
        </is>
      </c>
      <c r="B7" s="5" t="inlineStr">
        <is>
          <t>Harbour view</t>
        </is>
      </c>
      <c r="C7" s="5" t="inlineStr">
        <is>
          <t>Atelier Sole</t>
        </is>
      </c>
      <c r="D7" s="5" t="inlineStr">
        <is>
          <t>Atelier Sole</t>
        </is>
      </c>
      <c r="E7" s="5" t="inlineStr">
        <is>
          <t>Koper / Capodistria</t>
        </is>
      </c>
      <c r="F7" s="5" t="inlineStr">
        <is>
          <t>Koper</t>
        </is>
      </c>
      <c r="G7" s="5" t="inlineStr">
        <is>
          <t>postcard</t>
        </is>
      </c>
      <c r="H7" s="5" t="inlineStr">
        <is>
          <t>1912/06/14</t>
        </is>
      </c>
      <c r="I7" s="5" t="inlineStr">
        <is>
          <t>1912-06-14</t>
        </is>
      </c>
      <c r="J7" s="5" t="inlineStr">
        <is>
          <t>day</t>
        </is>
      </c>
      <c r="K7" s="5" t="inlineStr">
        <is>
          <t>valid</t>
        </is>
      </c>
      <c r="L7" s="7" t="inlineStr">
        <is>
          <t>1125</t>
        </is>
      </c>
      <c r="M7" s="5" t="inlineStr">
        <is>
          <t>parsed space separator</t>
        </is>
      </c>
      <c r="N7" s="5" t="inlineStr">
        <is>
          <t>B-02</t>
        </is>
      </c>
      <c r="O7" s="5" t="inlineStr">
        <is>
          <t>Bilingual source place retained</t>
        </is>
      </c>
    </row>
    <row r="8">
      <c r="A8" s="6" t="inlineStr">
        <is>
          <t>00104</t>
        </is>
      </c>
      <c r="B8" s="5" t="inlineStr">
        <is>
          <t>Castle courtyard</t>
        </is>
      </c>
      <c r="C8" s="5" t="inlineStr"/>
      <c r="D8" s="5" t="inlineStr"/>
      <c r="E8" s="5" t="inlineStr">
        <is>
          <t>Škofja Loka</t>
        </is>
      </c>
      <c r="F8" s="5" t="inlineStr">
        <is>
          <t>Škofja Loka</t>
        </is>
      </c>
      <c r="G8" s="5" t="inlineStr">
        <is>
          <t>postcard</t>
        </is>
      </c>
      <c r="H8" s="5" t="inlineStr">
        <is>
          <t>1911</t>
        </is>
      </c>
      <c r="I8" s="5" t="inlineStr">
        <is>
          <t>1911</t>
        </is>
      </c>
      <c r="J8" s="5" t="inlineStr">
        <is>
          <t>year</t>
        </is>
      </c>
      <c r="K8" s="5" t="inlineStr">
        <is>
          <t>valid</t>
        </is>
      </c>
      <c r="L8" s="7" t="inlineStr"/>
      <c r="M8" s="5" t="inlineStr">
        <is>
          <t>missing</t>
        </is>
      </c>
      <c r="N8" s="5" t="inlineStr">
        <is>
          <t>B-02</t>
        </is>
      </c>
      <c r="O8" s="5" t="inlineStr">
        <is>
          <t>Missing creator and views retained</t>
        </is>
      </c>
    </row>
    <row r="9">
      <c r="A9" s="6" t="inlineStr">
        <is>
          <t>00105</t>
        </is>
      </c>
      <c r="B9" s="5" t="inlineStr">
        <is>
          <t>Market day</t>
        </is>
      </c>
      <c r="C9" s="5" t="inlineStr">
        <is>
          <t>Ana Kovač</t>
        </is>
      </c>
      <c r="D9" s="5" t="inlineStr">
        <is>
          <t>Ana Kovač</t>
        </is>
      </c>
      <c r="E9" s="5" t="inlineStr">
        <is>
          <t>Maribor</t>
        </is>
      </c>
      <c r="F9" s="5" t="inlineStr">
        <is>
          <t>Maribor</t>
        </is>
      </c>
      <c r="G9" s="5" t="inlineStr">
        <is>
          <t>photograph</t>
        </is>
      </c>
      <c r="H9" s="5" t="inlineStr">
        <is>
          <t>14. 2. 1913</t>
        </is>
      </c>
      <c r="I9" s="5" t="inlineStr">
        <is>
          <t>1913-02-14</t>
        </is>
      </c>
      <c r="J9" s="5" t="inlineStr">
        <is>
          <t>day</t>
        </is>
      </c>
      <c r="K9" s="5" t="inlineStr">
        <is>
          <t>valid</t>
        </is>
      </c>
      <c r="L9" s="7" t="inlineStr">
        <is>
          <t>980</t>
        </is>
      </c>
      <c r="M9" s="5" t="inlineStr">
        <is>
          <t>valid integer</t>
        </is>
      </c>
      <c r="N9" s="5" t="inlineStr">
        <is>
          <t>A-01</t>
        </is>
      </c>
      <c r="O9" s="5" t="inlineStr">
        <is>
          <t>Exact duplicate excluded once</t>
        </is>
      </c>
    </row>
    <row r="10">
      <c r="A10" s="6" t="inlineStr">
        <is>
          <t>00106</t>
        </is>
      </c>
      <c r="B10" s="5" t="inlineStr">
        <is>
          <t>Bridge at dusk</t>
        </is>
      </c>
      <c r="C10" s="5" t="inlineStr">
        <is>
          <t>Unknown</t>
        </is>
      </c>
      <c r="D10" s="5" t="inlineStr"/>
      <c r="E10" s="5" t="inlineStr">
        <is>
          <t>Laibach</t>
        </is>
      </c>
      <c r="F10" s="5" t="inlineStr">
        <is>
          <t>Ljubljana</t>
        </is>
      </c>
      <c r="G10" s="5" t="inlineStr">
        <is>
          <t>postcard</t>
        </is>
      </c>
      <c r="H10" s="5" t="inlineStr">
        <is>
          <t>1914-13-40</t>
        </is>
      </c>
      <c r="I10" s="5" t="inlineStr"/>
      <c r="J10" s="5" t="inlineStr">
        <is>
          <t>unknown</t>
        </is>
      </c>
      <c r="K10" s="5" t="inlineStr">
        <is>
          <t>invalid</t>
        </is>
      </c>
      <c r="L10" s="7" t="inlineStr">
        <is>
          <t>730</t>
        </is>
      </c>
      <c r="M10" s="5" t="inlineStr">
        <is>
          <t>valid integer</t>
        </is>
      </c>
      <c r="N10" s="5" t="inlineStr">
        <is>
          <t>C-03</t>
        </is>
      </c>
      <c r="O10" s="5" t="inlineStr">
        <is>
          <t>Impossible date flagged; historical label retained</t>
        </is>
      </c>
    </row>
    <row r="11">
      <c r="A11" s="6" t="inlineStr">
        <is>
          <t>00107</t>
        </is>
      </c>
      <c r="B11" s="5" t="inlineStr">
        <is>
          <t>Untitled fragment</t>
        </is>
      </c>
      <c r="C11" s="5" t="inlineStr">
        <is>
          <t>N. N.</t>
        </is>
      </c>
      <c r="D11" s="5" t="inlineStr">
        <is>
          <t>N. N.</t>
        </is>
      </c>
      <c r="E11" s="5" t="inlineStr">
        <is>
          <t>Ptuj</t>
        </is>
      </c>
      <c r="F11" s="5" t="inlineStr">
        <is>
          <t>Ptuj</t>
        </is>
      </c>
      <c r="G11" s="5" t="inlineStr">
        <is>
          <t>unknown</t>
        </is>
      </c>
      <c r="H11" s="5" t="inlineStr"/>
      <c r="I11" s="5" t="inlineStr"/>
      <c r="J11" s="5" t="inlineStr">
        <is>
          <t>unknown</t>
        </is>
      </c>
      <c r="K11" s="5" t="inlineStr">
        <is>
          <t>missing</t>
        </is>
      </c>
      <c r="L11" s="7" t="inlineStr">
        <is>
          <t>14</t>
        </is>
      </c>
      <c r="M11" s="5" t="inlineStr">
        <is>
          <t>valid integer</t>
        </is>
      </c>
      <c r="N11" s="5" t="inlineStr">
        <is>
          <t>C-03</t>
        </is>
      </c>
      <c r="O11" s="5" t="inlineStr">
        <is>
          <t>Blank object type mapped to explicit unknown</t>
        </is>
      </c>
    </row>
    <row r="12">
      <c r="A12" s="6" t="inlineStr">
        <is>
          <t>00009</t>
        </is>
      </c>
      <c r="B12" s="5" t="inlineStr">
        <is>
          <t>River embankment</t>
        </is>
      </c>
      <c r="C12" s="5" t="inlineStr">
        <is>
          <t>M. Horvat</t>
        </is>
      </c>
      <c r="D12" s="5" t="inlineStr">
        <is>
          <t>M. Horvat</t>
        </is>
      </c>
      <c r="E12" s="5" t="inlineStr">
        <is>
          <t>Ljubljana</t>
        </is>
      </c>
      <c r="F12" s="5" t="inlineStr">
        <is>
          <t>Ljubljana</t>
        </is>
      </c>
      <c r="G12" s="5" t="inlineStr">
        <is>
          <t>postcard</t>
        </is>
      </c>
      <c r="H12" s="5" t="inlineStr">
        <is>
          <t>1909?</t>
        </is>
      </c>
      <c r="I12" s="5" t="inlineStr">
        <is>
          <t>1909</t>
        </is>
      </c>
      <c r="J12" s="5" t="inlineStr">
        <is>
          <t>year</t>
        </is>
      </c>
      <c r="K12" s="5" t="inlineStr">
        <is>
          <t>uncertain</t>
        </is>
      </c>
      <c r="L12" s="7" t="inlineStr">
        <is>
          <t>502</t>
        </is>
      </c>
      <c r="M12" s="5" t="inlineStr">
        <is>
          <t>valid integer</t>
        </is>
      </c>
      <c r="N12" s="5" t="inlineStr">
        <is>
          <t>A-01</t>
        </is>
      </c>
      <c r="O12" s="5" t="inlineStr">
        <is>
          <t>Leading zeros preserved; uncertainty retained</t>
        </is>
      </c>
    </row>
  </sheetData>
  <mergeCells count="2">
    <mergeCell ref="A1:O1"/>
    <mergeCell ref="A2:O2"/>
  </mergeCells>
  <dataValidations count="2">
    <dataValidation sqref="G5:G12" showDropDown="0" showInputMessage="0" showErrorMessage="0" allowBlank="0" type="list">
      <formula1>"photograph,postcard,unknown"</formula1>
    </dataValidation>
    <dataValidation sqref="K5:K12" showDropDown="0" showInputMessage="0" showErrorMessage="0" allowBlank="0" type="list">
      <formula1>"valid,approximate,uncertain,invalid,missing"</formula1>
    </dataValidation>
  </dataValidations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2F75B5"/>
    <outlinePr summaryBelow="1" summaryRight="1"/>
    <pageSetUpPr fitToPage="1"/>
  </sheetPr>
  <dimension ref="A1:F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42" customWidth="1" min="2" max="2"/>
    <col width="24" customWidth="1" min="3" max="3"/>
    <col width="48" customWidth="1" min="4" max="4"/>
    <col width="48" customWidth="1" min="5" max="5"/>
    <col width="42" customWidth="1" min="6" max="6"/>
  </cols>
  <sheetData>
    <row r="1" ht="28" customHeight="1">
      <c r="A1" s="1" t="inlineStr">
        <is>
          <t>Transform log — Power Query recipe and scholarly rationale</t>
        </is>
      </c>
    </row>
    <row r="2" ht="34" customHeight="1">
      <c r="A2" s="2" t="inlineStr">
        <is>
          <t>Recreate these operations in Power Query. Applied Steps make the recipe repeatable; reasons and checks make it auditable.</t>
        </is>
      </c>
    </row>
    <row r="4" ht="32" customHeight="1">
      <c r="A4" s="3" t="inlineStr">
        <is>
          <t>Step</t>
        </is>
      </c>
      <c r="B4" s="3" t="inlineStr">
        <is>
          <t>Operation</t>
        </is>
      </c>
      <c r="C4" s="3" t="inlineStr">
        <is>
          <t>Fields</t>
        </is>
      </c>
      <c r="D4" s="3" t="inlineStr">
        <is>
          <t>Reason</t>
        </is>
      </c>
      <c r="E4" s="3" t="inlineStr">
        <is>
          <t>Check</t>
        </is>
      </c>
      <c r="F4" s="3" t="inlineStr">
        <is>
          <t>Failure mode</t>
        </is>
      </c>
    </row>
    <row r="5">
      <c r="A5" s="5" t="n">
        <v>1</v>
      </c>
      <c r="B5" s="5" t="inlineStr">
        <is>
          <t>Import UTF-8 semicolon-delimited text</t>
        </is>
      </c>
      <c r="C5" s="5" t="inlineStr">
        <is>
          <t>all</t>
        </is>
      </c>
      <c r="D5" s="5" t="inlineStr">
        <is>
          <t>Preserve characters and columns</t>
        </is>
      </c>
      <c r="E5" s="5" t="inlineStr">
        <is>
          <t>9 columns; 10 data rows</t>
        </is>
      </c>
      <c r="F5" s="5" t="inlineStr">
        <is>
          <t>comma chosen as delimiter</t>
        </is>
      </c>
    </row>
    <row r="6">
      <c r="A6" s="5" t="n">
        <v>2</v>
      </c>
      <c r="B6" s="5" t="inlineStr">
        <is>
          <t>Set record_id to Text before load</t>
        </is>
      </c>
      <c r="C6" s="5" t="inlineStr">
        <is>
          <t>record_id</t>
        </is>
      </c>
      <c r="D6" s="5" t="inlineStr">
        <is>
          <t>Keep leading zeros</t>
        </is>
      </c>
      <c r="E6" s="5" t="inlineStr">
        <is>
          <t>00009 remains five characters</t>
        </is>
      </c>
      <c r="F6" s="5" t="inlineStr">
        <is>
          <t>automatic whole-number type</t>
        </is>
      </c>
    </row>
    <row r="7">
      <c r="A7" s="5" t="n">
        <v>3</v>
      </c>
      <c r="B7" s="5" t="inlineStr">
        <is>
          <t>Trim outer whitespace</t>
        </is>
      </c>
      <c r="C7" s="5" t="inlineStr">
        <is>
          <t>title, place_raw, object_type</t>
        </is>
      </c>
      <c r="D7" s="5" t="inlineStr">
        <is>
          <t>Remove layout noise</t>
        </is>
      </c>
      <c r="E7" s="5" t="inlineStr">
        <is>
          <t>00101 title/place have no outer spaces</t>
        </is>
      </c>
      <c r="F7" s="5" t="inlineStr">
        <is>
          <t>source file overwritten</t>
        </is>
      </c>
    </row>
    <row r="8">
      <c r="A8" s="5" t="n">
        <v>4</v>
      </c>
      <c r="B8" s="5" t="inlineStr">
        <is>
          <t>Filter explicit test identifier</t>
        </is>
      </c>
      <c r="C8" s="5" t="inlineStr">
        <is>
          <t>record_id</t>
        </is>
      </c>
      <c r="D8" s="5" t="inlineStr">
        <is>
          <t>Exclude non-collection calibration row</t>
        </is>
      </c>
      <c r="E8" s="5" t="inlineStr">
        <is>
          <t>TEST-01 absent; exclusion logged</t>
        </is>
      </c>
      <c r="F8" s="5" t="inlineStr">
        <is>
          <t>unexplained row deletion</t>
        </is>
      </c>
    </row>
    <row r="9">
      <c r="A9" s="5" t="n">
        <v>5</v>
      </c>
      <c r="B9" s="5" t="inlineStr">
        <is>
          <t>Remove one exact duplicate across all relevant fields</t>
        </is>
      </c>
      <c r="C9" s="5" t="inlineStr">
        <is>
          <t>all</t>
        </is>
      </c>
      <c r="D9" s="5" t="inlineStr">
        <is>
          <t>Prevent an identical row from being counted twice</t>
        </is>
      </c>
      <c r="E9" s="5" t="inlineStr">
        <is>
          <t>one 00105 remains; IDs reconciled</t>
        </is>
      </c>
      <c r="F9" s="5" t="inlineStr">
        <is>
          <t>using sort order to choose among differing rows</t>
        </is>
      </c>
    </row>
    <row r="10">
      <c r="A10" s="5" t="n">
        <v>6</v>
      </c>
      <c r="B10" s="5" t="inlineStr">
        <is>
          <t>Map object-type variants</t>
        </is>
      </c>
      <c r="C10" s="5" t="inlineStr">
        <is>
          <t>object_type</t>
        </is>
      </c>
      <c r="D10" s="5" t="inlineStr">
        <is>
          <t>Support stated comparison</t>
        </is>
      </c>
      <c r="E10" s="5" t="inlineStr">
        <is>
          <t>3 photograph, 4 postcard, 1 unknown</t>
        </is>
      </c>
      <c r="F10" s="5" t="inlineStr">
        <is>
          <t>blank silently dropped</t>
        </is>
      </c>
    </row>
    <row r="11">
      <c r="A11" s="5" t="n">
        <v>7</v>
      </c>
      <c r="B11" s="5" t="inlineStr">
        <is>
          <t>Merge place lookup; retain source</t>
        </is>
      </c>
      <c r="C11" s="5" t="inlineStr">
        <is>
          <t>place_raw</t>
        </is>
      </c>
      <c r="D11" s="5" t="inlineStr">
        <is>
          <t>Group reviewed variants without erasure</t>
        </is>
      </c>
      <c r="E11" s="5" t="inlineStr">
        <is>
          <t>Laibach source remains; grouping is Ljubljana</t>
        </is>
      </c>
      <c r="F11" s="5" t="inlineStr">
        <is>
          <t>unmatched rows discarded</t>
        </is>
      </c>
    </row>
    <row r="12">
      <c r="A12" s="5" t="n">
        <v>8</v>
      </c>
      <c r="B12" s="5" t="inlineStr">
        <is>
          <t>Parse views using documented convention</t>
        </is>
      </c>
      <c r="C12" s="5" t="inlineStr">
        <is>
          <t>views</t>
        </is>
      </c>
      <c r="D12" s="5" t="inlineStr">
        <is>
          <t>Create numeric measure</t>
        </is>
      </c>
      <c r="E12" s="5" t="inlineStr">
        <is>
          <t>00101=1204; 00103=1125; blank stays blank</t>
        </is>
      </c>
      <c r="F12" s="5" t="inlineStr">
        <is>
          <t>locale coercion changes values</t>
        </is>
      </c>
    </row>
    <row r="13">
      <c r="A13" s="5" t="n">
        <v>9</v>
      </c>
      <c r="B13" s="5" t="inlineStr">
        <is>
          <t>Parse dates into value, precision and status</t>
        </is>
      </c>
      <c r="C13" s="5" t="inlineStr">
        <is>
          <t>date_raw</t>
        </is>
      </c>
      <c r="D13" s="5" t="inlineStr">
        <is>
          <t>Avoid invented precision</t>
        </is>
      </c>
      <c r="E13" s="5" t="inlineStr">
        <is>
          <t>00106 invalid and blank ISO</t>
        </is>
      </c>
      <c r="F13" s="5" t="inlineStr">
        <is>
          <t>invalid date coerced</t>
        </is>
      </c>
    </row>
    <row r="14">
      <c r="A14" s="5" t="n">
        <v>10</v>
      </c>
      <c r="B14" s="5" t="inlineStr">
        <is>
          <t>Load to Cleaned table</t>
        </is>
      </c>
      <c r="C14" s="5" t="inlineStr">
        <is>
          <t>all</t>
        </is>
      </c>
      <c r="D14" s="5" t="inlineStr">
        <is>
          <t>Separate analytical layer</t>
        </is>
      </c>
      <c r="E14" s="5" t="inlineStr">
        <is>
          <t>8 rows and 15 fields</t>
        </is>
      </c>
      <c r="F14" s="5" t="inlineStr">
        <is>
          <t>raw and cleaned mixed</t>
        </is>
      </c>
    </row>
  </sheetData>
  <mergeCells count="2">
    <mergeCell ref="A2:F2"/>
    <mergeCell ref="A1:F1"/>
  </mergeCells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2F75B5"/>
    <outlinePr summaryBelow="1" summaryRight="1"/>
    <pageSetUpPr fitToPage="1"/>
  </sheetPr>
  <dimension ref="A1:D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6" customWidth="1" min="3" max="3"/>
    <col width="30" customWidth="1" min="4" max="4"/>
  </cols>
  <sheetData>
    <row r="1" ht="28" customHeight="1">
      <c r="A1" s="1" t="inlineStr">
        <is>
          <t>Pivot check — expected summary</t>
        </is>
      </c>
    </row>
    <row r="2" ht="34" customHeight="1">
      <c r="A2" s="2" t="inlineStr">
        <is>
          <t>Create a native PivotTable from Cleaned with object_type_normalized in Rows and record_id in Values (Count). Compare it with these formula-backed checks.</t>
        </is>
      </c>
    </row>
    <row r="4" ht="32" customHeight="1">
      <c r="A4" s="3" t="inlineStr">
        <is>
          <t>object_type_normalized</t>
        </is>
      </c>
      <c r="B4" s="3" t="inlineStr">
        <is>
          <t>Formula count</t>
        </is>
      </c>
      <c r="C4" s="3" t="inlineStr">
        <is>
          <t>Share</t>
        </is>
      </c>
      <c r="D4" s="3" t="inlineStr">
        <is>
          <t>Independent manual count</t>
        </is>
      </c>
    </row>
    <row r="5">
      <c r="A5" s="5" t="inlineStr">
        <is>
          <t>photograph</t>
        </is>
      </c>
      <c r="B5" s="5">
        <f>COUNTIF('Cleaned'!$G$5:$G$12,A5)</f>
        <v/>
      </c>
      <c r="C5" s="8">
        <f>B5/$B$8</f>
        <v/>
      </c>
      <c r="D5" s="5" t="n">
        <v>3</v>
      </c>
    </row>
    <row r="6">
      <c r="A6" s="5" t="inlineStr">
        <is>
          <t>postcard</t>
        </is>
      </c>
      <c r="B6" s="5">
        <f>COUNTIF('Cleaned'!$G$5:$G$12,A6)</f>
        <v/>
      </c>
      <c r="C6" s="8">
        <f>B6/$B$8</f>
        <v/>
      </c>
      <c r="D6" s="5" t="n">
        <v>4</v>
      </c>
    </row>
    <row r="7">
      <c r="A7" s="5" t="inlineStr">
        <is>
          <t>unknown</t>
        </is>
      </c>
      <c r="B7" s="5">
        <f>COUNTIF('Cleaned'!$G$5:$G$12,A7)</f>
        <v/>
      </c>
      <c r="C7" s="8">
        <f>B7/$B$8</f>
        <v/>
      </c>
      <c r="D7" s="5" t="n">
        <v>1</v>
      </c>
    </row>
    <row r="8">
      <c r="A8" s="9" t="inlineStr">
        <is>
          <t>Total</t>
        </is>
      </c>
      <c r="B8" s="9">
        <f>SUM(B5:B7)</f>
        <v/>
      </c>
      <c r="C8" s="10">
        <f>SUM(C5:C7)</f>
        <v/>
      </c>
      <c r="D8" s="9" t="n">
        <v>8</v>
      </c>
    </row>
    <row r="10" ht="36" customHeight="1">
      <c r="A10" s="11" t="inlineStr">
        <is>
          <t>Interpretation check: this summary describes eight retained fictional records. It does not measure a real collection. Unknown remains in the denominator.</t>
        </is>
      </c>
    </row>
    <row r="11" ht="36" customHeight="1">
      <c r="A11" s="11" t="inlineStr">
        <is>
          <t>Refresh test: add one controlled row to a copy of the raw CSV, refresh your query and PivotTable, and confirm that exactly one category count and the total increase by one.</t>
        </is>
      </c>
    </row>
  </sheetData>
  <mergeCells count="4">
    <mergeCell ref="A1:D1"/>
    <mergeCell ref="A10:D10"/>
    <mergeCell ref="A2:D2"/>
    <mergeCell ref="A11:D11"/>
  </mergeCells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2F75B5"/>
    <outlinePr summaryBelow="1" summaryRight="1"/>
    <pageSetUpPr fitToPage="1"/>
  </sheetPr>
  <dimension ref="A1:I1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8" customHeight="1">
      <c r="A1" s="1" t="inlineStr">
        <is>
          <t>Chart data — formula-linked and transparent</t>
        </is>
      </c>
    </row>
    <row r="2" ht="34" customHeight="1">
      <c r="A2" s="2" t="inlineStr">
        <is>
          <t>The chart reads from formulas linked to Pivot Check. Keep denominator, category definition, exclusions, source and text alternative visible.</t>
        </is>
      </c>
    </row>
    <row r="4" ht="32" customHeight="1">
      <c r="A4" s="3" t="inlineStr">
        <is>
          <t>Normalized object type</t>
        </is>
      </c>
      <c r="B4" s="3" t="inlineStr">
        <is>
          <t>Record count</t>
        </is>
      </c>
    </row>
    <row r="5">
      <c r="A5" s="5" t="inlineStr">
        <is>
          <t>photograph</t>
        </is>
      </c>
      <c r="B5" s="5">
        <f>'Pivot Check'!B5</f>
        <v/>
      </c>
    </row>
    <row r="6">
      <c r="A6" s="5" t="inlineStr">
        <is>
          <t>postcard</t>
        </is>
      </c>
      <c r="B6" s="5">
        <f>'Pivot Check'!B6</f>
        <v/>
      </c>
    </row>
    <row r="7">
      <c r="A7" s="5" t="inlineStr">
        <is>
          <t>unknown</t>
        </is>
      </c>
      <c r="B7" s="5">
        <f>'Pivot Check'!B7</f>
        <v/>
      </c>
    </row>
    <row r="9" ht="42" customHeight="1">
      <c r="A9" s="12" t="inlineStr">
        <is>
          <t>Caption: Retained fictional catalogue records by normalized object type (n = 8).</t>
        </is>
      </c>
    </row>
    <row r="10" ht="42" customHeight="1">
      <c r="A10" s="12" t="inlineStr">
        <is>
          <t>Source: Digital Humanities Handbook, Fictional Postcard Catalogue Teaching Dataset, version 1.0.</t>
        </is>
      </c>
    </row>
    <row r="11" ht="42" customHeight="1">
      <c r="A11" s="12" t="inlineStr">
        <is>
          <t>Transformations/exclusions: source labels mapped to two categories plus unknown; one exact duplicate and TEST-01 excluded.</t>
        </is>
      </c>
    </row>
    <row r="12" ht="42" customHeight="1">
      <c r="A12" s="12" t="inlineStr">
        <is>
          <t>Text alternative: Column chart showing photograph 3, postcard 4 and unknown 1 among eight retained records; postcard is the largest category.</t>
        </is>
      </c>
    </row>
  </sheetData>
  <mergeCells count="6">
    <mergeCell ref="A10:C10"/>
    <mergeCell ref="A11:C11"/>
    <mergeCell ref="A2:I2"/>
    <mergeCell ref="A1:I1"/>
    <mergeCell ref="A9:C9"/>
    <mergeCell ref="A12:C12"/>
  </mergeCells>
  <pageMargins left="0.75" right="0.75" top="1" bottom="1" header="0.5" footer="0.5"/>
  <pageSetup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tabColor rgb="002F75B5"/>
    <outlinePr summaryBelow="1" summaryRight="1"/>
    <pageSetUpPr fitToPage="1"/>
  </sheetPr>
  <dimension ref="A1:D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6" customWidth="1" min="4" max="4"/>
  </cols>
  <sheetData>
    <row r="1" ht="28" customHeight="1">
      <c r="A1" s="1" t="inlineStr">
        <is>
          <t>Validation — independent checks</t>
        </is>
      </c>
    </row>
    <row r="2" ht="34" customHeight="1">
      <c r="A2" s="2" t="inlineStr">
        <is>
          <t>Expected values were counted independently from raw identifiers. Formula cells point only to cleaned and summary layers.</t>
        </is>
      </c>
    </row>
    <row r="4" ht="32" customHeight="1">
      <c r="A4" s="3" t="inlineStr">
        <is>
          <t>Check</t>
        </is>
      </c>
      <c r="B4" s="3" t="inlineStr">
        <is>
          <t>Expected</t>
        </is>
      </c>
      <c r="C4" s="3" t="inlineStr">
        <is>
          <t>Calculated</t>
        </is>
      </c>
      <c r="D4" s="3" t="inlineStr">
        <is>
          <t>Status</t>
        </is>
      </c>
    </row>
    <row r="5">
      <c r="A5" s="5" t="inlineStr">
        <is>
          <t>Accepted rows</t>
        </is>
      </c>
      <c r="B5" s="5" t="n">
        <v>8</v>
      </c>
      <c r="C5" s="5">
        <f>COUNTA('Cleaned'!A5:A12)</f>
        <v/>
      </c>
      <c r="D5" s="5">
        <f>IF(ABS(B5-C5)&lt;0.0001,"PASS","CHECK")</f>
        <v/>
      </c>
    </row>
    <row r="6">
      <c r="A6" s="5" t="inlineStr">
        <is>
          <t>Pivot total</t>
        </is>
      </c>
      <c r="B6" s="5" t="n">
        <v>8</v>
      </c>
      <c r="C6" s="5">
        <f>SUM('Pivot Check'!B5:B7)</f>
        <v/>
      </c>
      <c r="D6" s="5">
        <f>IF(ABS(B6-C6)&lt;0.0001,"PASS","CHECK")</f>
        <v/>
      </c>
    </row>
    <row r="7">
      <c r="A7" s="5" t="inlineStr">
        <is>
          <t>Unknown categories</t>
        </is>
      </c>
      <c r="B7" s="5" t="n">
        <v>1</v>
      </c>
      <c r="C7" s="5">
        <f>COUNTIF('Cleaned'!G5:G12,"unknown")</f>
        <v/>
      </c>
      <c r="D7" s="5">
        <f>IF(ABS(B7-C7)&lt;0.0001,"PASS","CHECK")</f>
        <v/>
      </c>
    </row>
    <row r="8">
      <c r="A8" s="5" t="inlineStr">
        <is>
          <t>Leading-zero ID retained</t>
        </is>
      </c>
      <c r="B8" s="5" t="n">
        <v>1</v>
      </c>
      <c r="C8" s="5">
        <f>COUNTIF('Cleaned'!A5:A12,"00009")</f>
        <v/>
      </c>
      <c r="D8" s="5">
        <f>IF(ABS(B8-C8)&lt;0.0001,"PASS","CHECK")</f>
        <v/>
      </c>
    </row>
    <row r="9">
      <c r="A9" s="5" t="inlineStr">
        <is>
          <t>Invalid dates flagged</t>
        </is>
      </c>
      <c r="B9" s="5" t="n">
        <v>1</v>
      </c>
      <c r="C9" s="5">
        <f>COUNTIF('Cleaned'!K5:K12,"invalid")</f>
        <v/>
      </c>
      <c r="D9" s="5">
        <f>IF(ABS(B9-C9)&lt;0.0001,"PASS","CHECK")</f>
        <v/>
      </c>
    </row>
    <row r="10">
      <c r="A10" s="5" t="inlineStr">
        <is>
          <t>Missing view values</t>
        </is>
      </c>
      <c r="B10" s="5" t="n">
        <v>1</v>
      </c>
      <c r="C10" s="5">
        <f>COUNTBLANK('Cleaned'!L5:L12)</f>
        <v/>
      </c>
      <c r="D10" s="5">
        <f>IF(ABS(B10-C10)&lt;0.0001,"PASS","CHECK")</f>
        <v/>
      </c>
    </row>
    <row r="11">
      <c r="A11" s="5" t="inlineStr">
        <is>
          <t>Category shares sum</t>
        </is>
      </c>
      <c r="B11" s="8" t="n">
        <v>1</v>
      </c>
      <c r="C11" s="8">
        <f>SUM('Pivot Check'!C5:C7)</f>
        <v/>
      </c>
      <c r="D11" s="5">
        <f>IF(ABS(B11-C11)&lt;0.0001,"PASS","CHECK")</f>
        <v/>
      </c>
    </row>
  </sheetData>
  <mergeCells count="2">
    <mergeCell ref="A1:D1"/>
    <mergeCell ref="A2:D2"/>
  </mergeCells>
  <conditionalFormatting sqref="D5:D11">
    <cfRule type="cellIs" priority="1" operator="equal" dxfId="0">
      <formula>"PASS"</formula>
    </cfRule>
    <cfRule type="cellIs" priority="2" operator="equal" dxfId="1">
      <formula>"CHECK"</formula>
    </cfRule>
  </conditionalFormatting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2F75B5"/>
    <outlinePr summaryBelow="1" summaryRight="1"/>
    <pageSetUpPr fitToPage="1"/>
  </sheetPr>
  <dimension ref="A1:D1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32" customWidth="1" min="2" max="2"/>
    <col width="66" customWidth="1" min="3" max="3"/>
    <col width="48" customWidth="1" min="4" max="4"/>
  </cols>
  <sheetData>
    <row r="1" ht="28" customHeight="1">
      <c r="A1" s="1" t="inlineStr">
        <is>
          <t>Known problems — deliberate traps</t>
        </is>
      </c>
    </row>
    <row r="2" ht="34" customHeight="1">
      <c r="A2" s="2" t="inlineStr">
        <is>
          <t>Use this sheet to test import and cleaning decisions. Preserve evidence and record uncertainty rather than merely producing a tidy table.</t>
        </is>
      </c>
    </row>
    <row r="4" ht="32" customHeight="1">
      <c r="A4" s="3" t="inlineStr">
        <is>
          <t>Problem</t>
        </is>
      </c>
      <c r="B4" s="3" t="inlineStr">
        <is>
          <t>Where</t>
        </is>
      </c>
      <c r="C4" s="3" t="inlineStr">
        <is>
          <t>Required response</t>
        </is>
      </c>
      <c r="D4" s="3" t="inlineStr">
        <is>
          <t>Do not do</t>
        </is>
      </c>
    </row>
    <row r="5">
      <c r="A5" s="5" t="inlineStr">
        <is>
          <t>Leading zeros</t>
        </is>
      </c>
      <c r="B5" s="5" t="inlineStr">
        <is>
          <t>record_id 00009</t>
        </is>
      </c>
      <c r="C5" s="5" t="inlineStr">
        <is>
          <t>Import identifier as text</t>
        </is>
      </c>
      <c r="D5" s="5" t="inlineStr">
        <is>
          <t>Convert it to 9</t>
        </is>
      </c>
    </row>
    <row r="6">
      <c r="A6" s="5" t="inlineStr">
        <is>
          <t>Exact duplicate</t>
        </is>
      </c>
      <c r="B6" s="5" t="inlineStr">
        <is>
          <t>second 00105</t>
        </is>
      </c>
      <c r="C6" s="5" t="inlineStr">
        <is>
          <t>Exclude one identical row and log the rule</t>
        </is>
      </c>
      <c r="D6" s="5" t="inlineStr">
        <is>
          <t>Delete both rows</t>
        </is>
      </c>
    </row>
    <row r="7">
      <c r="A7" s="5" t="inlineStr">
        <is>
          <t>Differing duplicate candidates</t>
        </is>
      </c>
      <c r="B7" s="5" t="inlineStr">
        <is>
          <t>same key, different fields</t>
        </is>
      </c>
      <c r="C7" s="5" t="inlineStr">
        <is>
          <t>Use an explicit priority/group/index or retain/exclude rule; verify retained IDs</t>
        </is>
      </c>
      <c r="D7" s="5" t="inlineStr">
        <is>
          <t>Assume visible sort order chooses the retained row</t>
        </is>
      </c>
    </row>
    <row r="8">
      <c r="A8" s="5" t="inlineStr">
        <is>
          <t>Test row</t>
        </is>
      </c>
      <c r="B8" s="5" t="inlineStr">
        <is>
          <t>TEST-01</t>
        </is>
      </c>
      <c r="C8" s="5" t="inlineStr">
        <is>
          <t>Filter through an explicit step</t>
        </is>
      </c>
      <c r="D8" s="5" t="inlineStr">
        <is>
          <t>Delete from raw file</t>
        </is>
      </c>
    </row>
    <row r="9">
      <c r="A9" s="5" t="inlineStr">
        <is>
          <t>Locale-sensitive numbers</t>
        </is>
      </c>
      <c r="B9" s="5" t="inlineStr">
        <is>
          <t>1.204 and 1 125</t>
        </is>
      </c>
      <c r="C9" s="5" t="inlineStr">
        <is>
          <t>Apply the documented source convention and test known values</t>
        </is>
      </c>
      <c r="D9" s="5" t="inlineStr">
        <is>
          <t>Trust automatic detection</t>
        </is>
      </c>
    </row>
    <row r="10">
      <c r="A10" s="5" t="inlineStr">
        <is>
          <t>Mixed date precision</t>
        </is>
      </c>
      <c r="B10" s="5" t="inlineStr">
        <is>
          <t>date_raw</t>
        </is>
      </c>
      <c r="C10" s="5" t="inlineStr">
        <is>
          <t>Separate display, normalized value, precision and status</t>
        </is>
      </c>
      <c r="D10" s="5" t="inlineStr">
        <is>
          <t>Invent missing days</t>
        </is>
      </c>
    </row>
    <row r="11">
      <c r="A11" s="5" t="inlineStr">
        <is>
          <t>Impossible date</t>
        </is>
      </c>
      <c r="B11" s="5" t="inlineStr">
        <is>
          <t>00106</t>
        </is>
      </c>
      <c r="C11" s="5" t="inlineStr">
        <is>
          <t>Flag invalid and leave ISO date blank</t>
        </is>
      </c>
      <c r="D11" s="5" t="inlineStr">
        <is>
          <t>Silently coerce</t>
        </is>
      </c>
    </row>
    <row r="12">
      <c r="A12" s="5" t="inlineStr">
        <is>
          <t>Missing values</t>
        </is>
      </c>
      <c r="B12" s="5" t="inlineStr">
        <is>
          <t>creator, views, type, date</t>
        </is>
      </c>
      <c r="C12" s="5" t="inlineStr">
        <is>
          <t>Keep missingness explicit</t>
        </is>
      </c>
      <c r="D12" s="5" t="inlineStr">
        <is>
          <t>Replace with zero or guesses</t>
        </is>
      </c>
    </row>
    <row r="13">
      <c r="A13" s="5" t="inlineStr">
        <is>
          <t>Historical/bilingual places</t>
        </is>
      </c>
      <c r="B13" s="5" t="inlineStr">
        <is>
          <t>Laibach; Koper / Capodistria</t>
        </is>
      </c>
      <c r="C13" s="5" t="inlineStr">
        <is>
          <t>Retain source form beside reviewed grouping</t>
        </is>
      </c>
      <c r="D13" s="5" t="inlineStr">
        <is>
          <t>Erase the source wording</t>
        </is>
      </c>
    </row>
  </sheetData>
  <mergeCells count="2">
    <mergeCell ref="A1:D1"/>
    <mergeCell ref="A2:D2"/>
  </mergeCells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Digital Humanities Handbook</dc:creator>
  <dc:title xmlns:dc="http://purl.org/dc/elements/1.1/">Scholarly-data teaching workbook</dc:title>
  <dc:description xmlns:dc="http://purl.org/dc/elements/1.1/">Fictional teaching data; CC BY 4.0; version 1.0.</dc:description>
  <dc:subject xmlns:dc="http://purl.org/dc/elements/1.1/">Original teaching fixture for scholarly-work foundations</dc:subject>
  <dcterms:created xmlns:dcterms="http://purl.org/dc/terms/" xmlns:xsi="http://www.w3.org/2001/XMLSchema-instance" xsi:type="dcterms:W3CDTF">2026-09-02T00:00:00Z</dcterms:created>
  <dcterms:modified xmlns:dcterms="http://purl.org/dc/terms/" xmlns:xsi="http://www.w3.org/2001/XMLSchema-instance" xsi:type="dcterms:W3CDTF">2026-09-02T00:00:00Z</dcterms:modified>
  <cp:lastModifiedBy>Digital Humanities Handbook</cp:lastModifiedBy>
  <cp:keywords>Excel, Power Query, PivotTable, data cleaning, validation</cp:keywords>
</cp:coreProperties>
</file>