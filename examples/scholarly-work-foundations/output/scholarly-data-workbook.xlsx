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369e36377746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b40f4b377134689"/>
    <x:sheet xmlns:r="http://schemas.openxmlformats.org/officeDocument/2006/relationships" name="Raw" sheetId="2" r:id="Rf5d841b41ed9459d"/>
    <x:sheet xmlns:r="http://schemas.openxmlformats.org/officeDocument/2006/relationships" name="Lookup" sheetId="3" r:id="R5df17707a8384c21"/>
    <x:sheet xmlns:r="http://schemas.openxmlformats.org/officeDocument/2006/relationships" name="Cleaned" sheetId="4" r:id="R2d3f38c75979418a"/>
    <x:sheet xmlns:r="http://schemas.openxmlformats.org/officeDocument/2006/relationships" name="Transform Log" sheetId="5" r:id="R9fe026f80b9d4f7c"/>
    <x:sheet xmlns:r="http://schemas.openxmlformats.org/officeDocument/2006/relationships" name="Pivot Check" sheetId="6" r:id="Rc4b76a4e6d924836"/>
    <x:sheet xmlns:r="http://schemas.openxmlformats.org/officeDocument/2006/relationships" name="Chart Data" sheetId="7" r:id="R5815f9a2e1ba4328"/>
    <x:sheet xmlns:r="http://schemas.openxmlformats.org/officeDocument/2006/relationships" name="Validation" sheetId="8" r:id="Rb7e927e0774a4f3f"/>
    <x:sheet xmlns:r="http://schemas.openxmlformats.org/officeDocument/2006/relationships" name="Known Problems" sheetId="9" r:id="Rcccc4d159a5d44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0"/>
    <x:numFmt numFmtId="202" formatCode="0.0%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7A5200"/>
      <x:name val="Carlito"/>
    </x:font>
    <x:font>
      <x:i/>
      <x:sz val="11"/>
      <x:color rgb="FF5D6874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C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5F7"/>
      </x:patternFill>
    </x:fill>
  </x:fills>
  <x:borders count="3">
    <x:border/>
    <x:border>
      <x:left style="thin">
        <x:color rgb="FFCBD3DA"/>
      </x:left>
      <x:right style="thin">
        <x:color rgb="FFCBD3DA"/>
      </x:right>
      <x:top style="thin">
        <x:color rgb="FFCBD3DA"/>
      </x:top>
      <x:bottom style="thin">
        <x:color rgb="FFCBD3DA"/>
      </x:bottom>
    </x:border>
    <x:border>
      <x:left style="thin">
        <x:color rgb="FFCBD3DA"/>
      </x:left>
      <x:right style="thin">
        <x:color rgb="FFCBD3DA"/>
      </x:right>
      <x:top style="thin">
        <x:color rgb="FFCBD3DA"/>
      </x:top>
      <x:bottom style="double">
        <x:color rgb="FF2F75B5"/>
      </x:bottom>
    </x:border>
  </x:borders>
  <x:cellStyleXfs count="1">
    <x:xf numFmtId="0" fontId="0" fillId="0" borderId="0"/>
  </x:cellStyleXfs>
  <x:cellXfs count="3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202" fontId="0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202" fontId="4" fillId="3" borderId="1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202" fontId="4" fillId="3" borderId="2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215E21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40fb88946459e" /><Relationship Type="http://schemas.openxmlformats.org/officeDocument/2006/relationships/theme" Target="/xl/theme/theme1.xml" Id="Reb1e98bb2dae4653" /><Relationship Type="http://schemas.openxmlformats.org/officeDocument/2006/relationships/sharedStrings" Target="/xl/sharedStrings.xml" Id="R99b3d50384184371" /><Relationship Type="http://schemas.openxmlformats.org/officeDocument/2006/relationships/worksheet" Target="/xl/worksheets/sheet1.xml" Id="R1b40f4b377134689" /><Relationship Type="http://schemas.openxmlformats.org/officeDocument/2006/relationships/worksheet" Target="/xl/worksheets/sheet2.xml" Id="Rf5d841b41ed9459d" /><Relationship Type="http://schemas.openxmlformats.org/officeDocument/2006/relationships/worksheet" Target="/xl/worksheets/sheet3.xml" Id="R5df17707a8384c21" /><Relationship Type="http://schemas.openxmlformats.org/officeDocument/2006/relationships/worksheet" Target="/xl/worksheets/sheet4.xml" Id="R2d3f38c75979418a" /><Relationship Type="http://schemas.openxmlformats.org/officeDocument/2006/relationships/worksheet" Target="/xl/worksheets/sheet5.xml" Id="R9fe026f80b9d4f7c" /><Relationship Type="http://schemas.openxmlformats.org/officeDocument/2006/relationships/worksheet" Target="/xl/worksheets/sheet6.xml" Id="Rc4b76a4e6d924836" /><Relationship Type="http://schemas.openxmlformats.org/officeDocument/2006/relationships/worksheet" Target="/xl/worksheets/sheet7.xml" Id="R5815f9a2e1ba4328" /><Relationship Type="http://schemas.openxmlformats.org/officeDocument/2006/relationships/worksheet" Target="/xl/worksheets/sheet8.xml" Id="Rb7e927e0774a4f3f" /><Relationship Type="http://schemas.openxmlformats.org/officeDocument/2006/relationships/worksheet" Target="/xl/worksheets/sheet9.xml" Id="Rcccc4d159a5d44b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22abc44b3d462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Normalized object types (n = 8)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Record count</c:v>
          </c:tx>
          <c:cat>
            <c:strRef>
              <c:f>'Chart Data'!$A$5:$A$7</c:f>
              <c:strCache>
                <c:ptCount val="0"/>
              </c:strCache>
            </c:strRef>
          </c:cat>
          <c:val>
            <c:numRef>
              <c:f>'Chart Data'!$B$5:$B$7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Normalized object type</a:t>
                </a:r>
              </a:p>
            </c:rich>
          </c:tx>
          <c:overlay val="0"/>
        </c:title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5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r>
                  <a:t>Retained records</a:t>
                </a:r>
              </a:p>
            </c:rich>
          </c:tx>
          <c:overlay val="0"/>
        </c:title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9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22abc44b3d462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awRecords" displayName="RawRecords" ref="A4:I14" headerRowCount="1" totalsRowCount="0" totalsRowShown="0">
  <x:tableColumns count="9">
    <x:tableColumn id="1" name="record_id"/>
    <x:tableColumn id="2" name="title"/>
    <x:tableColumn id="3" name="creator"/>
    <x:tableColumn id="4" name="place_raw"/>
    <x:tableColumn id="5" name="date_raw"/>
    <x:tableColumn id="6" name="object_type"/>
    <x:tableColumn id="7" name="views"/>
    <x:tableColumn id="8" name="collection_code"/>
    <x:tableColumn id="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ceLookup" displayName="PlaceLookup" ref="A4:D11" headerRowCount="1" totalsRowCount="0" totalsRowShown="0">
  <x:tableColumns count="4">
    <x:tableColumn id="1" name="place_raw"/>
    <x:tableColumn id="2" name="place_normalized"/>
    <x:tableColumn id="3" name="match_status"/>
    <x:tableColumn id="4" name="decision_no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eanedRecords" displayName="CleanedRecords" ref="A4:O12" headerRowCount="1" totalsRowCount="0" totalsRowShown="0">
  <x:tableColumns count="15">
    <x:tableColumn id="1" name="record_id"/>
    <x:tableColumn id="2" name="title"/>
    <x:tableColumn id="3" name="creator_raw"/>
    <x:tableColumn id="4" name="creator_clean"/>
    <x:tableColumn id="5" name="place_raw"/>
    <x:tableColumn id="6" name="place_normalized"/>
    <x:tableColumn id="7" name="object_type_normalized"/>
    <x:tableColumn id="8" name="date_display"/>
    <x:tableColumn id="9" name="date_iso"/>
    <x:tableColumn id="10" name="date_precision"/>
    <x:tableColumn id="11" name="date_status"/>
    <x:tableColumn id="12" name="views"/>
    <x:tableColumn id="13" name="views_status"/>
    <x:tableColumn id="14" name="collection_code"/>
    <x:tableColumn id="15" name="validation_no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ansformationLog" displayName="TransformationLog" ref="A4:F14" headerRowCount="1" totalsRowCount="0" totalsRowShown="0">
  <x:tableColumns count="6">
    <x:tableColumn id="1" name="Step"/>
    <x:tableColumn id="2" name="Operation"/>
    <x:tableColumn id="3" name="Fields"/>
    <x:tableColumn id="4" name="Reason"/>
    <x:tableColumn id="5" name="Check"/>
    <x:tableColumn id="6" name="Failure mo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nownProblems" displayName="KnownProblems" ref="A4:D12" headerRowCount="1" totalsRowCount="0" totalsRowShown="0">
  <x:tableColumns count="4">
    <x:tableColumn id="1" name="Problem"/>
    <x:tableColumn id="2" name="Where"/>
    <x:tableColumn id="3" name="Required response"/>
    <x:tableColumn id="4" name="Do not 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fa9186b08947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b6bb5681f642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6c18b9b3517436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fc0b5a64463433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1.xml" Id="R12f94bcf0683484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5.xml" Id="Rd3af0318ee464b2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8" hidden="0" customWidth="1"/>
  </x:cols>
  <x:sheetData>
    <x:row r="1" ht="28" customHeight="1">
      <x:c r="A1" s="3" t="str">
        <x:v>Scholarly-data teaching workbook</x:v>
      </x:c>
      <x:c r="B1" s="3" t="str">
        <x:v>Scholarly-data teaching workbook</x:v>
      </x:c>
      <x:c r="C1" s="3" t="str">
        <x:v>Scholarly-data teaching workbook</x:v>
      </x:c>
      <x:c r="D1" s="3" t="str">
        <x:v>Scholarly-data teaching workbook</x:v>
      </x:c>
      <x:c r="E1" s="3" t="str">
        <x:v>Scholarly-data teaching workbook</x:v>
      </x:c>
      <x:c r="F1" s="3" t="str">
        <x:v>Scholarly-data teaching workbook</x:v>
      </x:c>
      <x:c r="G1" s="3" t="str">
        <x:v>Scholarly-data teaching workbook</x:v>
      </x:c>
      <x:c r="H1" s="3" t="str">
        <x:v>Scholarly-data teaching workbook</x:v>
      </x:c>
    </x:row>
    <x:row r="2" ht="34" customHeight="1">
      <x:c r="A2" s="7" t="str">
        <x:v>Version 1.0 • Original fictional teaching data • CC BY 4.0 • 2 September 2026</x:v>
      </x:c>
      <x:c r="B2" s="7" t="str">
        <x:v>Version 1.0 • Original fictional teaching data • CC BY 4.0 • 2 September 2026</x:v>
      </x:c>
      <x:c r="C2" s="7" t="str">
        <x:v>Version 1.0 • Original fictional teaching data • CC BY 4.0 • 2 September 2026</x:v>
      </x:c>
      <x:c r="D2" s="7" t="str">
        <x:v>Version 1.0 • Original fictional teaching data • CC BY 4.0 • 2 September 2026</x:v>
      </x:c>
      <x:c r="E2" s="7" t="str">
        <x:v>Version 1.0 • Original fictional teaching data • CC BY 4.0 • 2 September 2026</x:v>
      </x:c>
      <x:c r="F2" s="7" t="str">
        <x:v>Version 1.0 • Original fictional teaching data • CC BY 4.0 • 2 September 2026</x:v>
      </x:c>
      <x:c r="G2" s="7" t="str">
        <x:v>Version 1.0 • Original fictional teaching data • CC BY 4.0 • 2 September 2026</x:v>
      </x:c>
      <x:c r="H2" s="7" t="str">
        <x:v>Version 1.0 • Original fictional teaching data • CC BY 4.0 • 2 September 2026</x:v>
      </x:c>
    </x:row>
    <x:row r="4" ht="32" customHeight="1">
      <x:c r="A4" s="13" t="str">
        <x:v>Purpose</x:v>
      </x:c>
      <x:c r="B4" s="12" t="str">
        <x:v>Practice controlled Excel import, repeatable Power Query transformations, PivotTables, validation and transparent charting.</x:v>
      </x:c>
    </x:row>
    <x:row r="5">
      <x:c r="A5" s="14" t="str">
        <x:v>Research question</x:v>
      </x:c>
      <x:c r="B5" s="15" t="str">
        <x:v>How do documented normalization choices change what this small fictional catalogue allows us to compare?</x:v>
      </x:c>
    </x:row>
    <x:row r="6">
      <x:c r="A6" s="14" t="str">
        <x:v>Start</x:v>
      </x:c>
      <x:c r="B6" s="15" t="str">
        <x:v>Import raw/postcards-messy.csv into a copy. Preserve Raw and record every type and exclusion decision.</x:v>
      </x:c>
    </x:row>
    <x:row r="7">
      <x:c r="A7" s="14" t="str">
        <x:v>Raw</x:v>
      </x:c>
      <x:c r="B7" s="15" t="str">
        <x:v>Ten unchanged source rows, including one exact duplicate and one test record.</x:v>
      </x:c>
    </x:row>
    <x:row r="8">
      <x:c r="A8" s="14" t="str">
        <x:v>Cleaned</x:v>
      </x:c>
      <x:c r="B8" s="15" t="str">
        <x:v>Eight accepted rows with source fields, normalized fields, status columns and validation notes.</x:v>
      </x:c>
    </x:row>
    <x:row r="9">
      <x:c r="A9" s="14" t="str">
        <x:v>Pivot Check</x:v>
      </x:c>
      <x:c r="B9" s="15" t="str">
        <x:v>Formula-backed expected counts. Create your own native PivotTable from Cleaned and compare it here.</x:v>
      </x:c>
    </x:row>
    <x:row r="10">
      <x:c r="A10" s="14" t="str">
        <x:v>Chart Data</x:v>
      </x:c>
      <x:c r="B10" s="15" t="str">
        <x:v>Formula-linked helper range and a native chart with an explicit denominator and source note.</x:v>
      </x:c>
    </x:row>
    <x:row r="11">
      <x:c r="A11" s="14" t="str">
        <x:v>Validation</x:v>
      </x:c>
      <x:c r="B11" s="15" t="str">
        <x:v>Independent totals and known-value checks. Formula cells are intentionally visible.</x:v>
      </x:c>
    </x:row>
    <x:row r="12">
      <x:c r="A12" s="14" t="str">
        <x:v>Interface boundary</x:v>
      </x:c>
      <x:c r="B12" s="15" t="str">
        <x:v>Excel and Power Query labels vary by platform, locale and version. The scholarly outputs and checks are the stable requirement.</x:v>
      </x:c>
    </x:row>
    <x:row r="13">
      <x:c r="A13" s="14" t="str">
        <x:v>Identifier fixture</x:v>
      </x:c>
      <x:c r="B13" s="15" t="str">
        <x:v>Raw and Cleaned IDs use text-returning TEXT formulas only to preserve five-character cached values in this generated XLSX. In your own import, set record_id to Text instead.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22" hidden="0" customWidth="1"/>
    <x:col min="4" max="4" width="24" hidden="0" customWidth="1"/>
    <x:col min="5" max="5" width="16" hidden="0" customWidth="1"/>
    <x:col min="6" max="6" width="17" hidden="0" customWidth="1"/>
    <x:col min="7" max="7" width="13" hidden="0" customWidth="1"/>
    <x:col min="8" max="8" width="17" hidden="0" customWidth="1"/>
    <x:col min="9" max="9" width="38" hidden="0" customWidth="1"/>
  </x:cols>
  <x:sheetData>
    <x:row r="1" ht="28" customHeight="1">
      <x:c r="A1" s="3" t="str">
        <x:v>Raw — immutable import layer</x:v>
      </x:c>
      <x:c r="B1" s="3" t="str">
        <x:v>Raw — immutable import layer</x:v>
      </x:c>
      <x:c r="C1" s="3" t="str">
        <x:v>Raw — immutable import layer</x:v>
      </x:c>
      <x:c r="D1" s="3" t="str">
        <x:v>Raw — immutable import layer</x:v>
      </x:c>
      <x:c r="E1" s="3" t="str">
        <x:v>Raw — immutable import layer</x:v>
      </x:c>
      <x:c r="F1" s="3" t="str">
        <x:v>Raw — immutable import layer</x:v>
      </x:c>
      <x:c r="G1" s="3" t="str">
        <x:v>Raw — immutable import layer</x:v>
      </x:c>
      <x:c r="H1" s="3" t="str">
        <x:v>Raw — immutable import layer</x:v>
      </x:c>
      <x:c r="I1" s="3" t="str">
        <x:v>Raw — immutable import layer</x:v>
      </x:c>
    </x:row>
    <x:row r="2" ht="34" customHeight="1">
      <x:c r="A2" s="7" t="str">
        <x:v>Do not edit these ten records. Re-import from raw/postcards-messy.csv when testing delimiter, encoding, identifier and locale settings.</x:v>
      </x:c>
      <x:c r="B2" s="7" t="str">
        <x:v>Do not edit these ten records. Re-import from raw/postcards-messy.csv when testing delimiter, encoding, identifier and locale settings.</x:v>
      </x:c>
      <x:c r="C2" s="7" t="str">
        <x:v>Do not edit these ten records. Re-import from raw/postcards-messy.csv when testing delimiter, encoding, identifier and locale settings.</x:v>
      </x:c>
      <x:c r="D2" s="7" t="str">
        <x:v>Do not edit these ten records. Re-import from raw/postcards-messy.csv when testing delimiter, encoding, identifier and locale settings.</x:v>
      </x:c>
      <x:c r="E2" s="7" t="str">
        <x:v>Do not edit these ten records. Re-import from raw/postcards-messy.csv when testing delimiter, encoding, identifier and locale settings.</x:v>
      </x:c>
      <x:c r="F2" s="7" t="str">
        <x:v>Do not edit these ten records. Re-import from raw/postcards-messy.csv when testing delimiter, encoding, identifier and locale settings.</x:v>
      </x:c>
      <x:c r="G2" s="7" t="str">
        <x:v>Do not edit these ten records. Re-import from raw/postcards-messy.csv when testing delimiter, encoding, identifier and locale settings.</x:v>
      </x:c>
      <x:c r="H2" s="7" t="str">
        <x:v>Do not edit these ten records. Re-import from raw/postcards-messy.csv when testing delimiter, encoding, identifier and locale settings.</x:v>
      </x:c>
      <x:c r="I2" s="7" t="str">
        <x:v>Do not edit these ten records. Re-import from raw/postcards-messy.csv when testing delimiter, encoding, identifier and locale settings.</x:v>
      </x:c>
    </x:row>
    <x:row r="4" ht="32" customHeight="1">
      <x:c r="A4" s="12" t="str">
        <x:v>record_id</x:v>
      </x:c>
      <x:c r="B4" s="12" t="str">
        <x:v>title</x:v>
      </x:c>
      <x:c r="C4" s="12" t="str">
        <x:v>creator</x:v>
      </x:c>
      <x:c r="D4" s="12" t="str">
        <x:v>place_raw</x:v>
      </x:c>
      <x:c r="E4" s="12" t="str">
        <x:v>date_raw</x:v>
      </x:c>
      <x:c r="F4" s="12" t="str">
        <x:v>object_type</x:v>
      </x:c>
      <x:c r="G4" s="12" t="str">
        <x:v>views</x:v>
      </x:c>
      <x:c r="H4" s="12" t="str">
        <x:v>collection_code</x:v>
      </x:c>
      <x:c r="I4" s="12" t="str">
        <x:v>notes</x:v>
      </x:c>
    </x:row>
    <x:row r="5">
      <x:c r="A5" s="19" t="str">
        <x:f>TEXT(101,"00000")</x:f>
        <x:v>00101</x:v>
      </x:c>
      <x:c r="B5" s="19" t="str">
        <x:v> Razglednica Prešernovega trga </x:v>
      </x:c>
      <x:c r="C5" s="19" t="str">
        <x:v>Marija K.</x:v>
      </x:c>
      <x:c r="D5" s="19" t="str">
        <x:v>Ljubljana </x:v>
      </x:c>
      <x:c r="E5" s="19" t="str">
        <x:v>1908-05</x:v>
      </x:c>
      <x:c r="F5" s="19" t="str">
        <x:v>Photograph</x:v>
      </x:c>
      <x:c r="G5" s="19" t="str">
        <x:v>1.204</x:v>
      </x:c>
      <x:c r="H5" s="19" t="str">
        <x:v>A-01</x:v>
      </x:c>
      <x:c r="I5" s="19" t="str">
        <x:v>leading and trailing spaces</x:v>
      </x:c>
    </x:row>
    <x:row r="6">
      <x:c r="A6" s="19" t="str">
        <x:f>TEXT(102,"00000")</x:f>
        <x:v>00102</x:v>
      </x:c>
      <x:c r="B6" s="19" t="str">
        <x:v>Railway station</x:v>
      </x:c>
      <x:c r="C6" s="19" t="str">
        <x:v>J. Novak</x:v>
      </x:c>
      <x:c r="D6" s="19" t="str">
        <x:v>Celje</x:v>
      </x:c>
      <x:c r="E6" s="19" t="str">
        <x:v>c. 1910</x:v>
      </x:c>
      <x:c r="F6" s="19" t="str">
        <x:v>photo</x:v>
      </x:c>
      <x:c r="G6" s="19" t="str">
        <x:v>850</x:v>
      </x:c>
      <x:c r="H6" s="19" t="str">
        <x:v>A-01</x:v>
      </x:c>
      <x:c r="I6" s="19" t="str">
        <x:v>approximate date</x:v>
      </x:c>
    </x:row>
    <x:row r="7">
      <x:c r="A7" s="19" t="str">
        <x:f>TEXT(103,"00000")</x:f>
        <x:v>00103</x:v>
      </x:c>
      <x:c r="B7" s="19" t="str">
        <x:v>Harbour view</x:v>
      </x:c>
      <x:c r="C7" s="19" t="str">
        <x:v>Atelier Sole</x:v>
      </x:c>
      <x:c r="D7" s="19" t="str">
        <x:v>Koper / Capodistria</x:v>
      </x:c>
      <x:c r="E7" s="19" t="str">
        <x:v>1912/06/14</x:v>
      </x:c>
      <x:c r="F7" s="19" t="str">
        <x:v>Postcard</x:v>
      </x:c>
      <x:c r="G7" s="19" t="str">
        <x:v>1 125</x:v>
      </x:c>
      <x:c r="H7" s="19" t="str">
        <x:v>B-02</x:v>
      </x:c>
      <x:c r="I7" s="19" t="str">
        <x:v>bilingual place label</x:v>
      </x:c>
    </x:row>
    <x:row r="8">
      <x:c r="A8" s="19" t="str">
        <x:f>TEXT(104,"00000")</x:f>
        <x:v>00104</x:v>
      </x:c>
      <x:c r="B8" s="19" t="str">
        <x:v>Castle courtyard</x:v>
      </x:c>
      <x:c r="C8" s="19" t="str"/>
      <x:c r="D8" s="19" t="str">
        <x:v>Škofja Loka</x:v>
      </x:c>
      <x:c r="E8" s="19" t="str">
        <x:v>1911</x:v>
      </x:c>
      <x:c r="F8" s="19" t="str">
        <x:v>postcard</x:v>
      </x:c>
      <x:c r="G8" s="19" t="str"/>
      <x:c r="H8" s="19" t="str">
        <x:v>B-02</x:v>
      </x:c>
      <x:c r="I8" s="19" t="str">
        <x:v>missing creator and views</x:v>
      </x:c>
    </x:row>
    <x:row r="9">
      <x:c r="A9" s="19" t="str">
        <x:f>TEXT(105,"00000")</x:f>
        <x:v>00105</x:v>
      </x:c>
      <x:c r="B9" s="19" t="str">
        <x:v>Market day</x:v>
      </x:c>
      <x:c r="C9" s="19" t="str">
        <x:v>Ana Kovač</x:v>
      </x:c>
      <x:c r="D9" s="19" t="str">
        <x:v>Maribor</x:v>
      </x:c>
      <x:c r="E9" s="19" t="str">
        <x:v>14. 2. 1913</x:v>
      </x:c>
      <x:c r="F9" s="19" t="str">
        <x:v>photograph</x:v>
      </x:c>
      <x:c r="G9" s="19" t="str">
        <x:v>980</x:v>
      </x:c>
      <x:c r="H9" s="19" t="str">
        <x:v>A-01</x:v>
      </x:c>
      <x:c r="I9" s="19" t="str">
        <x:v>day-first date</x:v>
      </x:c>
    </x:row>
    <x:row r="10">
      <x:c r="A10" s="19" t="str">
        <x:f>TEXT(105,"00000")</x:f>
        <x:v>00105</x:v>
      </x:c>
      <x:c r="B10" s="19" t="str">
        <x:v>Market day</x:v>
      </x:c>
      <x:c r="C10" s="19" t="str">
        <x:v>Ana Kovač</x:v>
      </x:c>
      <x:c r="D10" s="19" t="str">
        <x:v>Maribor</x:v>
      </x:c>
      <x:c r="E10" s="19" t="str">
        <x:v>14. 2. 1913</x:v>
      </x:c>
      <x:c r="F10" s="19" t="str">
        <x:v>photograph</x:v>
      </x:c>
      <x:c r="G10" s="19" t="str">
        <x:v>980</x:v>
      </x:c>
      <x:c r="H10" s="19" t="str">
        <x:v>A-01</x:v>
      </x:c>
      <x:c r="I10" s="19" t="str">
        <x:v>day-first date</x:v>
      </x:c>
    </x:row>
    <x:row r="11">
      <x:c r="A11" s="19" t="str">
        <x:f>TEXT(106,"00000")</x:f>
        <x:v>00106</x:v>
      </x:c>
      <x:c r="B11" s="19" t="str">
        <x:v>Bridge at dusk</x:v>
      </x:c>
      <x:c r="C11" s="19" t="str">
        <x:v>Unknown</x:v>
      </x:c>
      <x:c r="D11" s="19" t="str">
        <x:v>Laibach</x:v>
      </x:c>
      <x:c r="E11" s="19" t="str">
        <x:v>1914-13-40</x:v>
      </x:c>
      <x:c r="F11" s="19" t="str">
        <x:v>razglednica</x:v>
      </x:c>
      <x:c r="G11" s="19" t="str">
        <x:v>730</x:v>
      </x:c>
      <x:c r="H11" s="19" t="str">
        <x:v>C-03</x:v>
      </x:c>
      <x:c r="I11" s="19" t="str">
        <x:v>impossible date and historical place label</x:v>
      </x:c>
    </x:row>
    <x:row r="12">
      <x:c r="A12" s="19" t="str">
        <x:f>"TEST-01"</x:f>
        <x:v>TEST-01</x:v>
      </x:c>
      <x:c r="B12" s="19" t="str">
        <x:v>Calibration card</x:v>
      </x:c>
      <x:c r="C12" s="19" t="str">
        <x:v>Staff</x:v>
      </x:c>
      <x:c r="D12" s="19" t="str">
        <x:v>Ljubljana</x:v>
      </x:c>
      <x:c r="E12" s="19" t="str">
        <x:v>2026-01-01</x:v>
      </x:c>
      <x:c r="F12" s="19" t="str">
        <x:v>test</x:v>
      </x:c>
      <x:c r="G12" s="19" t="str">
        <x:v>0</x:v>
      </x:c>
      <x:c r="H12" s="19" t="str">
        <x:v>TEST</x:v>
      </x:c>
      <x:c r="I12" s="19" t="str">
        <x:v>non-collection test row</x:v>
      </x:c>
    </x:row>
    <x:row r="13">
      <x:c r="A13" s="19" t="str">
        <x:f>TEXT(107,"00000")</x:f>
        <x:v>00107</x:v>
      </x:c>
      <x:c r="B13" s="19" t="str">
        <x:v>Untitled fragment</x:v>
      </x:c>
      <x:c r="C13" s="19" t="str">
        <x:v>N. N.</x:v>
      </x:c>
      <x:c r="D13" s="19" t="str">
        <x:v>Ptuj</x:v>
      </x:c>
      <x:c r="E13" s="19" t="str"/>
      <x:c r="F13" s="19" t="str"/>
      <x:c r="G13" s="19" t="str">
        <x:v>14</x:v>
      </x:c>
      <x:c r="H13" s="19" t="str">
        <x:v>C-03</x:v>
      </x:c>
      <x:c r="I13" s="19" t="str">
        <x:v>blank object type and date</x:v>
      </x:c>
    </x:row>
    <x:row r="14">
      <x:c r="A14" s="19" t="str">
        <x:f>TEXT(9,"00000")</x:f>
        <x:v>00009</x:v>
      </x:c>
      <x:c r="B14" s="19" t="str">
        <x:v>River embankment</x:v>
      </x:c>
      <x:c r="C14" s="19" t="str">
        <x:v>M. Horvat</x:v>
      </x:c>
      <x:c r="D14" s="19" t="str">
        <x:v>Ljubljana</x:v>
      </x:c>
      <x:c r="E14" s="19" t="str">
        <x:v>1909?</x:v>
      </x:c>
      <x:c r="F14" s="19" t="str">
        <x:v>razglednica</x:v>
      </x:c>
      <x:c r="G14" s="19" t="str">
        <x:v>502</x:v>
      </x:c>
      <x:c r="H14" s="19" t="str">
        <x:v>A-01</x:v>
      </x:c>
      <x:c r="I14" s="19" t="str">
        <x:v>identifier must retain leading zeros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1fa9186b08947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5" hidden="0" customWidth="1"/>
    <x:col min="3" max="3" width="16" hidden="0" customWidth="1"/>
    <x:col min="4" max="4" width="68" hidden="0" customWidth="1"/>
  </x:cols>
  <x:sheetData>
    <x:row r="1" ht="28" customHeight="1">
      <x:c r="A1" s="3" t="str">
        <x:v>Lookup — reviewed place-name mapping</x:v>
      </x:c>
      <x:c r="B1" s="3" t="str">
        <x:v>Lookup — reviewed place-name mapping</x:v>
      </x:c>
      <x:c r="C1" s="3" t="str">
        <x:v>Lookup — reviewed place-name mapping</x:v>
      </x:c>
      <x:c r="D1" s="3" t="str">
        <x:v>Lookup — reviewed place-name mapping</x:v>
      </x:c>
    </x:row>
    <x:row r="2" ht="34" customHeight="1">
      <x:c r="A2" s="7" t="str">
        <x:v>The lookup preserves each source label. Reviewed grouping values support this exercise; they are not a universal authority file.</x:v>
      </x:c>
      <x:c r="B2" s="7" t="str">
        <x:v>The lookup preserves each source label. Reviewed grouping values support this exercise; they are not a universal authority file.</x:v>
      </x:c>
      <x:c r="C2" s="7" t="str">
        <x:v>The lookup preserves each source label. Reviewed grouping values support this exercise; they are not a universal authority file.</x:v>
      </x:c>
      <x:c r="D2" s="7" t="str">
        <x:v>The lookup preserves each source label. Reviewed grouping values support this exercise; they are not a universal authority file.</x:v>
      </x:c>
    </x:row>
    <x:row r="4" ht="32" customHeight="1">
      <x:c r="A4" s="12" t="str">
        <x:v>place_raw</x:v>
      </x:c>
      <x:c r="B4" s="12" t="str">
        <x:v>place_normalized</x:v>
      </x:c>
      <x:c r="C4" s="12" t="str">
        <x:v>match_status</x:v>
      </x:c>
      <x:c r="D4" s="12" t="str">
        <x:v>decision_note</x:v>
      </x:c>
    </x:row>
    <x:row r="5">
      <x:c r="A5" s="15" t="str">
        <x:v>Ljubljana</x:v>
      </x:c>
      <x:c r="B5" s="15" t="str">
        <x:v>Ljubljana</x:v>
      </x:c>
      <x:c r="C5" s="15" t="str">
        <x:v>exact</x:v>
      </x:c>
      <x:c r="D5" s="15" t="str">
        <x:v>Whitespace is removed but source value is retained.</x:v>
      </x:c>
    </x:row>
    <x:row r="6">
      <x:c r="A6" s="15" t="str">
        <x:v>Celje</x:v>
      </x:c>
      <x:c r="B6" s="15" t="str">
        <x:v>Celje</x:v>
      </x:c>
      <x:c r="C6" s="15" t="str">
        <x:v>exact</x:v>
      </x:c>
      <x:c r="D6" s="15" t="str">
        <x:v>No semantic change.</x:v>
      </x:c>
    </x:row>
    <x:row r="7">
      <x:c r="A7" s="15" t="str">
        <x:v>Koper / Capodistria</x:v>
      </x:c>
      <x:c r="B7" s="15" t="str">
        <x:v>Koper</x:v>
      </x:c>
      <x:c r="C7" s="15" t="str">
        <x:v>reviewed</x:v>
      </x:c>
      <x:c r="D7" s="15" t="str">
        <x:v>Normalized grouping uses Koper; bilingual source label is retained.</x:v>
      </x:c>
    </x:row>
    <x:row r="8">
      <x:c r="A8" s="15" t="str">
        <x:v>Škofja Loka</x:v>
      </x:c>
      <x:c r="B8" s="15" t="str">
        <x:v>Škofja Loka</x:v>
      </x:c>
      <x:c r="C8" s="15" t="str">
        <x:v>exact</x:v>
      </x:c>
      <x:c r="D8" s="15" t="str">
        <x:v>No semantic change.</x:v>
      </x:c>
    </x:row>
    <x:row r="9">
      <x:c r="A9" s="15" t="str">
        <x:v>Maribor</x:v>
      </x:c>
      <x:c r="B9" s="15" t="str">
        <x:v>Maribor</x:v>
      </x:c>
      <x:c r="C9" s="15" t="str">
        <x:v>exact</x:v>
      </x:c>
      <x:c r="D9" s="15" t="str">
        <x:v>No semantic change.</x:v>
      </x:c>
    </x:row>
    <x:row r="10">
      <x:c r="A10" s="15" t="str">
        <x:v>Laibach</x:v>
      </x:c>
      <x:c r="B10" s="15" t="str">
        <x:v>Ljubljana</x:v>
      </x:c>
      <x:c r="C10" s="15" t="str">
        <x:v>reviewed</x:v>
      </x:c>
      <x:c r="D10" s="15" t="str">
        <x:v>Historical German label is retained in place_raw; normalized grouping uses Ljubljana.</x:v>
      </x:c>
    </x:row>
    <x:row r="11">
      <x:c r="A11" s="15" t="str">
        <x:v>Ptuj</x:v>
      </x:c>
      <x:c r="B11" s="15" t="str">
        <x:v>Ptuj</x:v>
      </x:c>
      <x:c r="C11" s="15" t="str">
        <x:v>exact</x:v>
      </x:c>
      <x:c r="D11" s="15" t="str">
        <x:v>No semantic change.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65b6bb5681f642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4" hidden="0" customWidth="1"/>
    <x:col min="3" max="3" width="18" hidden="0" customWidth="1"/>
    <x:col min="4" max="4" width="18" hidden="0" customWidth="1"/>
    <x:col min="5" max="5" width="25" hidden="0" customWidth="1"/>
    <x:col min="6" max="6" width="20" hidden="0" customWidth="1"/>
    <x:col min="7" max="7" width="20" hidden="0" customWidth="1"/>
    <x:col min="8" max="8" width="16" hidden="0" customWidth="1"/>
    <x:col min="9" max="9" width="15" hidden="0" customWidth="1"/>
    <x:col min="10" max="10" width="14" hidden="0" customWidth="1"/>
    <x:col min="11" max="11" width="14" hidden="0" customWidth="1"/>
    <x:col min="12" max="12" width="12" hidden="0" customWidth="1"/>
    <x:col min="13" max="13" width="23" hidden="0" customWidth="1"/>
    <x:col min="14" max="14" width="16" hidden="0" customWidth="1"/>
    <x:col min="15" max="15" width="42" hidden="0" customWidth="1"/>
  </x:cols>
  <x:sheetData>
    <x:row r="1" ht="28" customHeight="1">
      <x:c r="A1" s="3" t="str">
        <x:v>Cleaned — documented analytical layer</x:v>
      </x:c>
      <x:c r="B1" s="3" t="str">
        <x:v>Cleaned — documented analytical layer</x:v>
      </x:c>
      <x:c r="C1" s="3" t="str">
        <x:v>Cleaned — documented analytical layer</x:v>
      </x:c>
      <x:c r="D1" s="3" t="str">
        <x:v>Cleaned — documented analytical layer</x:v>
      </x:c>
      <x:c r="E1" s="3" t="str">
        <x:v>Cleaned — documented analytical layer</x:v>
      </x:c>
      <x:c r="F1" s="3" t="str">
        <x:v>Cleaned — documented analytical layer</x:v>
      </x:c>
      <x:c r="G1" s="3" t="str">
        <x:v>Cleaned — documented analytical layer</x:v>
      </x:c>
      <x:c r="H1" s="3" t="str">
        <x:v>Cleaned — documented analytical layer</x:v>
      </x:c>
      <x:c r="I1" s="3" t="str">
        <x:v>Cleaned — documented analytical layer</x:v>
      </x:c>
      <x:c r="J1" s="3" t="str">
        <x:v>Cleaned — documented analytical layer</x:v>
      </x:c>
      <x:c r="K1" s="3" t="str">
        <x:v>Cleaned — documented analytical layer</x:v>
      </x:c>
      <x:c r="L1" s="3" t="str">
        <x:v>Cleaned — documented analytical layer</x:v>
      </x:c>
      <x:c r="M1" s="3" t="str">
        <x:v>Cleaned — documented analytical layer</x:v>
      </x:c>
      <x:c r="N1" s="3" t="str">
        <x:v>Cleaned — documented analytical layer</x:v>
      </x:c>
      <x:c r="O1" s="3" t="str">
        <x:v>Cleaned — documented analytical layer</x:v>
      </x:c>
    </x:row>
    <x:row r="2" ht="34" customHeight="1">
      <x:c r="A2" s="7" t="str">
        <x:v>One defensible interpretation for the stated exercise. Keep source expressions beside normalized values and leave uncertainty visible.</x:v>
      </x:c>
      <x:c r="B2" s="7" t="str">
        <x:v>One defensible interpretation for the stated exercise. Keep source expressions beside normalized values and leave uncertainty visible.</x:v>
      </x:c>
      <x:c r="C2" s="7" t="str">
        <x:v>One defensible interpretation for the stated exercise. Keep source expressions beside normalized values and leave uncertainty visible.</x:v>
      </x:c>
      <x:c r="D2" s="7" t="str">
        <x:v>One defensible interpretation for the stated exercise. Keep source expressions beside normalized values and leave uncertainty visible.</x:v>
      </x:c>
      <x:c r="E2" s="7" t="str">
        <x:v>One defensible interpretation for the stated exercise. Keep source expressions beside normalized values and leave uncertainty visible.</x:v>
      </x:c>
      <x:c r="F2" s="7" t="str">
        <x:v>One defensible interpretation for the stated exercise. Keep source expressions beside normalized values and leave uncertainty visible.</x:v>
      </x:c>
      <x:c r="G2" s="7" t="str">
        <x:v>One defensible interpretation for the stated exercise. Keep source expressions beside normalized values and leave uncertainty visible.</x:v>
      </x:c>
      <x:c r="H2" s="7" t="str">
        <x:v>One defensible interpretation for the stated exercise. Keep source expressions beside normalized values and leave uncertainty visible.</x:v>
      </x:c>
      <x:c r="I2" s="7" t="str">
        <x:v>One defensible interpretation for the stated exercise. Keep source expressions beside normalized values and leave uncertainty visible.</x:v>
      </x:c>
      <x:c r="J2" s="7" t="str">
        <x:v>One defensible interpretation for the stated exercise. Keep source expressions beside normalized values and leave uncertainty visible.</x:v>
      </x:c>
      <x:c r="K2" s="7" t="str">
        <x:v>One defensible interpretation for the stated exercise. Keep source expressions beside normalized values and leave uncertainty visible.</x:v>
      </x:c>
      <x:c r="L2" s="7" t="str">
        <x:v>One defensible interpretation for the stated exercise. Keep source expressions beside normalized values and leave uncertainty visible.</x:v>
      </x:c>
      <x:c r="M2" s="7" t="str">
        <x:v>One defensible interpretation for the stated exercise. Keep source expressions beside normalized values and leave uncertainty visible.</x:v>
      </x:c>
      <x:c r="N2" s="7" t="str">
        <x:v>One defensible interpretation for the stated exercise. Keep source expressions beside normalized values and leave uncertainty visible.</x:v>
      </x:c>
      <x:c r="O2" s="7" t="str">
        <x:v>One defensible interpretation for the stated exercise. Keep source expressions beside normalized values and leave uncertainty visible.</x:v>
      </x:c>
    </x:row>
    <x:row r="4" ht="32" customHeight="1">
      <x:c r="A4" s="12" t="str">
        <x:v>record_id</x:v>
      </x:c>
      <x:c r="B4" s="12" t="str">
        <x:v>title</x:v>
      </x:c>
      <x:c r="C4" s="12" t="str">
        <x:v>creator_raw</x:v>
      </x:c>
      <x:c r="D4" s="12" t="str">
        <x:v>creator_clean</x:v>
      </x:c>
      <x:c r="E4" s="12" t="str">
        <x:v>place_raw</x:v>
      </x:c>
      <x:c r="F4" s="12" t="str">
        <x:v>place_normalized</x:v>
      </x:c>
      <x:c r="G4" s="12" t="str">
        <x:v>object_type_normalized</x:v>
      </x:c>
      <x:c r="H4" s="12" t="str">
        <x:v>date_display</x:v>
      </x:c>
      <x:c r="I4" s="12" t="str">
        <x:v>date_iso</x:v>
      </x:c>
      <x:c r="J4" s="12" t="str">
        <x:v>date_precision</x:v>
      </x:c>
      <x:c r="K4" s="12" t="str">
        <x:v>date_status</x:v>
      </x:c>
      <x:c r="L4" s="12" t="str">
        <x:v>views</x:v>
      </x:c>
      <x:c r="M4" s="12" t="str">
        <x:v>views_status</x:v>
      </x:c>
      <x:c r="N4" s="12" t="str">
        <x:v>collection_code</x:v>
      </x:c>
      <x:c r="O4" s="12" t="str">
        <x:v>validation_note</x:v>
      </x:c>
    </x:row>
    <x:row r="5">
      <x:c r="A5" s="19" t="str">
        <x:f>TEXT(101,"00000")</x:f>
        <x:v>00101</x:v>
      </x:c>
      <x:c r="B5" s="15" t="str">
        <x:v>Razglednica Prešernovega trga</x:v>
      </x:c>
      <x:c r="C5" s="15" t="str">
        <x:v>Marija K.</x:v>
      </x:c>
      <x:c r="D5" s="15" t="str">
        <x:v>Marija K.</x:v>
      </x:c>
      <x:c r="E5" s="15" t="str">
        <x:v>Ljubljana</x:v>
      </x:c>
      <x:c r="F5" s="15" t="str">
        <x:v>Ljubljana</x:v>
      </x:c>
      <x:c r="G5" s="15" t="str">
        <x:v>photograph</x:v>
      </x:c>
      <x:c r="H5" s="15" t="str">
        <x:v>1908-05</x:v>
      </x:c>
      <x:c r="I5" s="15" t="str">
        <x:v>1908-05</x:v>
      </x:c>
      <x:c r="J5" s="15" t="str">
        <x:v>month</x:v>
      </x:c>
      <x:c r="K5" s="15" t="str">
        <x:v>valid</x:v>
      </x:c>
      <x:c r="L5" s="21" t="str">
        <x:v>1204</x:v>
      </x:c>
      <x:c r="M5" s="15" t="str">
        <x:v>parsed thousands separator</x:v>
      </x:c>
      <x:c r="N5" s="15" t="str">
        <x:v>A-01</x:v>
      </x:c>
      <x:c r="O5" s="15" t="str">
        <x:v>Whitespace trimmed</x:v>
      </x:c>
    </x:row>
    <x:row r="6">
      <x:c r="A6" s="19" t="str">
        <x:f>TEXT(102,"00000")</x:f>
        <x:v>00102</x:v>
      </x:c>
      <x:c r="B6" s="15" t="str">
        <x:v>Railway station</x:v>
      </x:c>
      <x:c r="C6" s="15" t="str">
        <x:v>J. Novak</x:v>
      </x:c>
      <x:c r="D6" s="15" t="str">
        <x:v>J. Novak</x:v>
      </x:c>
      <x:c r="E6" s="15" t="str">
        <x:v>Celje</x:v>
      </x:c>
      <x:c r="F6" s="15" t="str">
        <x:v>Celje</x:v>
      </x:c>
      <x:c r="G6" s="15" t="str">
        <x:v>photograph</x:v>
      </x:c>
      <x:c r="H6" s="15" t="str">
        <x:v>c. 1910</x:v>
      </x:c>
      <x:c r="I6" s="15" t="str">
        <x:v>1910</x:v>
      </x:c>
      <x:c r="J6" s="15" t="str">
        <x:v>year</x:v>
      </x:c>
      <x:c r="K6" s="15" t="str">
        <x:v>approximate</x:v>
      </x:c>
      <x:c r="L6" s="21" t="str">
        <x:v>850</x:v>
      </x:c>
      <x:c r="M6" s="15" t="str">
        <x:v>valid integer</x:v>
      </x:c>
      <x:c r="N6" s="15" t="str">
        <x:v>A-01</x:v>
      </x:c>
      <x:c r="O6" s="15" t="str">
        <x:v>Approximation retained in display field</x:v>
      </x:c>
    </x:row>
    <x:row r="7">
      <x:c r="A7" s="19" t="str">
        <x:f>TEXT(103,"00000")</x:f>
        <x:v>00103</x:v>
      </x:c>
      <x:c r="B7" s="15" t="str">
        <x:v>Harbour view</x:v>
      </x:c>
      <x:c r="C7" s="15" t="str">
        <x:v>Atelier Sole</x:v>
      </x:c>
      <x:c r="D7" s="15" t="str">
        <x:v>Atelier Sole</x:v>
      </x:c>
      <x:c r="E7" s="15" t="str">
        <x:v>Koper / Capodistria</x:v>
      </x:c>
      <x:c r="F7" s="15" t="str">
        <x:v>Koper</x:v>
      </x:c>
      <x:c r="G7" s="15" t="str">
        <x:v>postcard</x:v>
      </x:c>
      <x:c r="H7" s="15" t="str">
        <x:v>1912/06/14</x:v>
      </x:c>
      <x:c r="I7" s="15" t="str">
        <x:v>1912-06-14</x:v>
      </x:c>
      <x:c r="J7" s="15" t="str">
        <x:v>day</x:v>
      </x:c>
      <x:c r="K7" s="15" t="str">
        <x:v>valid</x:v>
      </x:c>
      <x:c r="L7" s="21" t="str">
        <x:v>1125</x:v>
      </x:c>
      <x:c r="M7" s="15" t="str">
        <x:v>parsed space separator</x:v>
      </x:c>
      <x:c r="N7" s="15" t="str">
        <x:v>B-02</x:v>
      </x:c>
      <x:c r="O7" s="15" t="str">
        <x:v>Bilingual source place retained</x:v>
      </x:c>
    </x:row>
    <x:row r="8">
      <x:c r="A8" s="19" t="str">
        <x:f>TEXT(104,"00000")</x:f>
        <x:v>00104</x:v>
      </x:c>
      <x:c r="B8" s="15" t="str">
        <x:v>Castle courtyard</x:v>
      </x:c>
      <x:c r="C8" s="15" t="str"/>
      <x:c r="D8" s="15" t="str"/>
      <x:c r="E8" s="15" t="str">
        <x:v>Škofja Loka</x:v>
      </x:c>
      <x:c r="F8" s="15" t="str">
        <x:v>Škofja Loka</x:v>
      </x:c>
      <x:c r="G8" s="15" t="str">
        <x:v>postcard</x:v>
      </x:c>
      <x:c r="H8" s="15" t="str">
        <x:v>1911</x:v>
      </x:c>
      <x:c r="I8" s="15" t="str">
        <x:v>1911</x:v>
      </x:c>
      <x:c r="J8" s="15" t="str">
        <x:v>year</x:v>
      </x:c>
      <x:c r="K8" s="15" t="str">
        <x:v>valid</x:v>
      </x:c>
      <x:c r="L8" s="21" t="str"/>
      <x:c r="M8" s="15" t="str">
        <x:v>missing</x:v>
      </x:c>
      <x:c r="N8" s="15" t="str">
        <x:v>B-02</x:v>
      </x:c>
      <x:c r="O8" s="15" t="str">
        <x:v>Missing creator and views retained</x:v>
      </x:c>
    </x:row>
    <x:row r="9">
      <x:c r="A9" s="19" t="str">
        <x:f>TEXT(105,"00000")</x:f>
        <x:v>00105</x:v>
      </x:c>
      <x:c r="B9" s="15" t="str">
        <x:v>Market day</x:v>
      </x:c>
      <x:c r="C9" s="15" t="str">
        <x:v>Ana Kovač</x:v>
      </x:c>
      <x:c r="D9" s="15" t="str">
        <x:v>Ana Kovač</x:v>
      </x:c>
      <x:c r="E9" s="15" t="str">
        <x:v>Maribor</x:v>
      </x:c>
      <x:c r="F9" s="15" t="str">
        <x:v>Maribor</x:v>
      </x:c>
      <x:c r="G9" s="15" t="str">
        <x:v>photograph</x:v>
      </x:c>
      <x:c r="H9" s="15" t="str">
        <x:v>14. 2. 1913</x:v>
      </x:c>
      <x:c r="I9" s="15" t="str">
        <x:v>1913-02-14</x:v>
      </x:c>
      <x:c r="J9" s="15" t="str">
        <x:v>day</x:v>
      </x:c>
      <x:c r="K9" s="15" t="str">
        <x:v>valid</x:v>
      </x:c>
      <x:c r="L9" s="21" t="str">
        <x:v>980</x:v>
      </x:c>
      <x:c r="M9" s="15" t="str">
        <x:v>valid integer</x:v>
      </x:c>
      <x:c r="N9" s="15" t="str">
        <x:v>A-01</x:v>
      </x:c>
      <x:c r="O9" s="15" t="str">
        <x:v>Exact duplicate excluded once</x:v>
      </x:c>
    </x:row>
    <x:row r="10">
      <x:c r="A10" s="19" t="str">
        <x:f>TEXT(106,"00000")</x:f>
        <x:v>00106</x:v>
      </x:c>
      <x:c r="B10" s="15" t="str">
        <x:v>Bridge at dusk</x:v>
      </x:c>
      <x:c r="C10" s="15" t="str">
        <x:v>Unknown</x:v>
      </x:c>
      <x:c r="D10" s="15" t="str"/>
      <x:c r="E10" s="15" t="str">
        <x:v>Laibach</x:v>
      </x:c>
      <x:c r="F10" s="15" t="str">
        <x:v>Ljubljana</x:v>
      </x:c>
      <x:c r="G10" s="15" t="str">
        <x:v>postcard</x:v>
      </x:c>
      <x:c r="H10" s="15" t="str">
        <x:v>1914-13-40</x:v>
      </x:c>
      <x:c r="I10" s="15" t="str"/>
      <x:c r="J10" s="15" t="str">
        <x:v>unknown</x:v>
      </x:c>
      <x:c r="K10" s="15" t="str">
        <x:v>invalid</x:v>
      </x:c>
      <x:c r="L10" s="21" t="str">
        <x:v>730</x:v>
      </x:c>
      <x:c r="M10" s="15" t="str">
        <x:v>valid integer</x:v>
      </x:c>
      <x:c r="N10" s="15" t="str">
        <x:v>C-03</x:v>
      </x:c>
      <x:c r="O10" s="15" t="str">
        <x:v>Impossible date flagged; historical label retained</x:v>
      </x:c>
    </x:row>
    <x:row r="11">
      <x:c r="A11" s="19" t="str">
        <x:f>TEXT(107,"00000")</x:f>
        <x:v>00107</x:v>
      </x:c>
      <x:c r="B11" s="15" t="str">
        <x:v>Untitled fragment</x:v>
      </x:c>
      <x:c r="C11" s="15" t="str">
        <x:v>N. N.</x:v>
      </x:c>
      <x:c r="D11" s="15" t="str">
        <x:v>N. N.</x:v>
      </x:c>
      <x:c r="E11" s="15" t="str">
        <x:v>Ptuj</x:v>
      </x:c>
      <x:c r="F11" s="15" t="str">
        <x:v>Ptuj</x:v>
      </x:c>
      <x:c r="G11" s="15" t="str">
        <x:v>unknown</x:v>
      </x:c>
      <x:c r="H11" s="15" t="str"/>
      <x:c r="I11" s="15" t="str"/>
      <x:c r="J11" s="15" t="str">
        <x:v>unknown</x:v>
      </x:c>
      <x:c r="K11" s="15" t="str">
        <x:v>missing</x:v>
      </x:c>
      <x:c r="L11" s="21" t="str">
        <x:v>14</x:v>
      </x:c>
      <x:c r="M11" s="15" t="str">
        <x:v>valid integer</x:v>
      </x:c>
      <x:c r="N11" s="15" t="str">
        <x:v>C-03</x:v>
      </x:c>
      <x:c r="O11" s="15" t="str">
        <x:v>Blank object type mapped to explicit unknown</x:v>
      </x:c>
    </x:row>
    <x:row r="12">
      <x:c r="A12" s="19" t="str">
        <x:f>TEXT(9,"00000")</x:f>
        <x:v>00009</x:v>
      </x:c>
      <x:c r="B12" s="15" t="str">
        <x:v>River embankment</x:v>
      </x:c>
      <x:c r="C12" s="15" t="str">
        <x:v>M. Horvat</x:v>
      </x:c>
      <x:c r="D12" s="15" t="str">
        <x:v>M. Horvat</x:v>
      </x:c>
      <x:c r="E12" s="15" t="str">
        <x:v>Ljubljana</x:v>
      </x:c>
      <x:c r="F12" s="15" t="str">
        <x:v>Ljubljana</x:v>
      </x:c>
      <x:c r="G12" s="15" t="str">
        <x:v>postcard</x:v>
      </x:c>
      <x:c r="H12" s="15" t="str">
        <x:v>1909?</x:v>
      </x:c>
      <x:c r="I12" s="15" t="str">
        <x:v>1909</x:v>
      </x:c>
      <x:c r="J12" s="15" t="str">
        <x:v>year</x:v>
      </x:c>
      <x:c r="K12" s="15" t="str">
        <x:v>uncertain</x:v>
      </x:c>
      <x:c r="L12" s="21" t="str">
        <x:v>502</x:v>
      </x:c>
      <x:c r="M12" s="15" t="str">
        <x:v>valid integer</x:v>
      </x:c>
      <x:c r="N12" s="15" t="str">
        <x:v>A-01</x:v>
      </x:c>
      <x:c r="O12" s="15" t="str">
        <x:v>Leading zeros preserved; uncertainty retained</x:v>
      </x:c>
    </x:row>
  </x:sheetData>
  <x:mergeCells>
    <x:mergeCell ref="A1:O1"/>
    <x:mergeCell ref="A2:O2"/>
  </x:mergeCells>
  <x:dataValidations count="2">
    <x:dataValidation type="list" sqref="G5:G12">
      <x:formula1>"photograph,postcard,unknown"</x:formula1>
    </x:dataValidation>
    <x:dataValidation type="list" sqref="K5:K12">
      <x:formula1>"valid,approximate,uncertain,invalid,missing"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6c18b9b3517436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35" hidden="0" customWidth="1"/>
    <x:col min="3" max="3" width="24" hidden="0" customWidth="1"/>
    <x:col min="4" max="4" width="45" hidden="0" customWidth="1"/>
    <x:col min="5" max="5" width="44" hidden="0" customWidth="1"/>
    <x:col min="6" max="6" width="38" hidden="0" customWidth="1"/>
  </x:cols>
  <x:sheetData>
    <x:row r="1" ht="28" customHeight="1">
      <x:c r="A1" s="3" t="str">
        <x:v>Transform log — Power Query recipe and scholarly rationale</x:v>
      </x:c>
      <x:c r="B1" s="3" t="str">
        <x:v>Transform log — Power Query recipe and scholarly rationale</x:v>
      </x:c>
      <x:c r="C1" s="3" t="str">
        <x:v>Transform log — Power Query recipe and scholarly rationale</x:v>
      </x:c>
      <x:c r="D1" s="3" t="str">
        <x:v>Transform log — Power Query recipe and scholarly rationale</x:v>
      </x:c>
      <x:c r="E1" s="3" t="str">
        <x:v>Transform log — Power Query recipe and scholarly rationale</x:v>
      </x:c>
      <x:c r="F1" s="3" t="str">
        <x:v>Transform log — Power Query recipe and scholarly rationale</x:v>
      </x:c>
    </x:row>
    <x:row r="2" ht="34" customHeight="1">
      <x:c r="A2" s="7" t="str">
        <x:v>Recreate these operations in Power Query. Applied Steps make the recipe repeatable; the reason and check columns make it auditable.</x:v>
      </x:c>
      <x:c r="B2" s="7" t="str">
        <x:v>Recreate these operations in Power Query. Applied Steps make the recipe repeatable; the reason and check columns make it auditable.</x:v>
      </x:c>
      <x:c r="C2" s="7" t="str">
        <x:v>Recreate these operations in Power Query. Applied Steps make the recipe repeatable; the reason and check columns make it auditable.</x:v>
      </x:c>
      <x:c r="D2" s="7" t="str">
        <x:v>Recreate these operations in Power Query. Applied Steps make the recipe repeatable; the reason and check columns make it auditable.</x:v>
      </x:c>
      <x:c r="E2" s="7" t="str">
        <x:v>Recreate these operations in Power Query. Applied Steps make the recipe repeatable; the reason and check columns make it auditable.</x:v>
      </x:c>
      <x:c r="F2" s="7" t="str">
        <x:v>Recreate these operations in Power Query. Applied Steps make the recipe repeatable; the reason and check columns make it auditable.</x:v>
      </x:c>
    </x:row>
    <x:row r="4" ht="32" customHeight="1">
      <x:c r="A4" s="12" t="str">
        <x:v>Step</x:v>
      </x:c>
      <x:c r="B4" s="12" t="str">
        <x:v>Operation</x:v>
      </x:c>
      <x:c r="C4" s="12" t="str">
        <x:v>Fields</x:v>
      </x:c>
      <x:c r="D4" s="12" t="str">
        <x:v>Reason</x:v>
      </x:c>
      <x:c r="E4" s="12" t="str">
        <x:v>Check</x:v>
      </x:c>
      <x:c r="F4" s="12" t="str">
        <x:v>Failure mode</x:v>
      </x:c>
    </x:row>
    <x:row r="5">
      <x:c r="A5" s="15" t="n">
        <x:v>1</x:v>
      </x:c>
      <x:c r="B5" s="15" t="str">
        <x:v>Import UTF-8 semicolon-delimited text</x:v>
      </x:c>
      <x:c r="C5" s="15" t="str">
        <x:v>all</x:v>
      </x:c>
      <x:c r="D5" s="15" t="str">
        <x:v>Preserve characters and columns</x:v>
      </x:c>
      <x:c r="E5" s="15" t="str">
        <x:v>9 columns; 10 data rows</x:v>
      </x:c>
      <x:c r="F5" s="15" t="str">
        <x:v>comma chosen as delimiter</x:v>
      </x:c>
    </x:row>
    <x:row r="6">
      <x:c r="A6" s="15" t="n">
        <x:v>2</x:v>
      </x:c>
      <x:c r="B6" s="15" t="str">
        <x:v>Set record_id to text before load</x:v>
      </x:c>
      <x:c r="C6" s="15" t="str">
        <x:v>record_id</x:v>
      </x:c>
      <x:c r="D6" s="15" t="str">
        <x:v>Keep leading zeros</x:v>
      </x:c>
      <x:c r="E6" s="15" t="str">
        <x:v>00009 remains five characters</x:v>
      </x:c>
      <x:c r="F6" s="15" t="str">
        <x:v>automatic whole-number type</x:v>
      </x:c>
    </x:row>
    <x:row r="7">
      <x:c r="A7" s="15" t="n">
        <x:v>3</x:v>
      </x:c>
      <x:c r="B7" s="15" t="str">
        <x:v>Trim outer whitespace</x:v>
      </x:c>
      <x:c r="C7" s="15" t="str">
        <x:v>title, place_raw, object_type</x:v>
      </x:c>
      <x:c r="D7" s="15" t="str">
        <x:v>Remove layout noise</x:v>
      </x:c>
      <x:c r="E7" s="15" t="str">
        <x:v>00101 title/place have no outer spaces</x:v>
      </x:c>
      <x:c r="F7" s="15" t="str">
        <x:v>source file overwritten</x:v>
      </x:c>
    </x:row>
    <x:row r="8">
      <x:c r="A8" s="15" t="n">
        <x:v>4</x:v>
      </x:c>
      <x:c r="B8" s="15" t="str">
        <x:v>Filter explicit test identifier</x:v>
      </x:c>
      <x:c r="C8" s="15" t="str">
        <x:v>record_id</x:v>
      </x:c>
      <x:c r="D8" s="15" t="str">
        <x:v>Exclude non-collection calibration row</x:v>
      </x:c>
      <x:c r="E8" s="15" t="str">
        <x:v>TEST-01 absent; exclusion logged</x:v>
      </x:c>
      <x:c r="F8" s="15" t="str">
        <x:v>unexplained row deletion</x:v>
      </x:c>
    </x:row>
    <x:row r="9">
      <x:c r="A9" s="15" t="n">
        <x:v>5</x:v>
      </x:c>
      <x:c r="B9" s="15" t="str">
        <x:v>Remove one exact duplicate</x:v>
      </x:c>
      <x:c r="C9" s="15" t="str">
        <x:v>all</x:v>
      </x:c>
      <x:c r="D9" s="15" t="str">
        <x:v>Prevent double count</x:v>
      </x:c>
      <x:c r="E9" s="15" t="str">
        <x:v>one 00105 remains</x:v>
      </x:c>
      <x:c r="F9" s="15" t="str">
        <x:v>both duplicates removed</x:v>
      </x:c>
    </x:row>
    <x:row r="10">
      <x:c r="A10" s="15" t="n">
        <x:v>6</x:v>
      </x:c>
      <x:c r="B10" s="15" t="str">
        <x:v>Map object-type variants</x:v>
      </x:c>
      <x:c r="C10" s="15" t="str">
        <x:v>object_type</x:v>
      </x:c>
      <x:c r="D10" s="15" t="str">
        <x:v>Support stated comparison</x:v>
      </x:c>
      <x:c r="E10" s="15" t="str">
        <x:v>3 photograph, 4 postcard, 1 unknown</x:v>
      </x:c>
      <x:c r="F10" s="15" t="str">
        <x:v>blank silently dropped</x:v>
      </x:c>
    </x:row>
    <x:row r="11">
      <x:c r="A11" s="15" t="n">
        <x:v>7</x:v>
      </x:c>
      <x:c r="B11" s="15" t="str">
        <x:v>Merge place lookup; retain source</x:v>
      </x:c>
      <x:c r="C11" s="15" t="str">
        <x:v>place_raw</x:v>
      </x:c>
      <x:c r="D11" s="15" t="str">
        <x:v>Group reviewed variants without erasure</x:v>
      </x:c>
      <x:c r="E11" s="15" t="str">
        <x:v>Laibach source remains; grouping is Ljubljana</x:v>
      </x:c>
      <x:c r="F11" s="15" t="str">
        <x:v>unmatched rows discarded</x:v>
      </x:c>
    </x:row>
    <x:row r="12">
      <x:c r="A12" s="15" t="n">
        <x:v>8</x:v>
      </x:c>
      <x:c r="B12" s="15" t="str">
        <x:v>Parse views using documented convention</x:v>
      </x:c>
      <x:c r="C12" s="15" t="str">
        <x:v>views</x:v>
      </x:c>
      <x:c r="D12" s="15" t="str">
        <x:v>Create numeric measure</x:v>
      </x:c>
      <x:c r="E12" s="15" t="str">
        <x:v>00101=1204; 00103=1125; blank stays blank</x:v>
      </x:c>
      <x:c r="F12" s="15" t="str">
        <x:v>locale coercion changes values</x:v>
      </x:c>
    </x:row>
    <x:row r="13">
      <x:c r="A13" s="15" t="n">
        <x:v>9</x:v>
      </x:c>
      <x:c r="B13" s="15" t="str">
        <x:v>Parse dates into value, precision and status</x:v>
      </x:c>
      <x:c r="C13" s="15" t="str">
        <x:v>date_raw</x:v>
      </x:c>
      <x:c r="D13" s="15" t="str">
        <x:v>Avoid invented precision</x:v>
      </x:c>
      <x:c r="E13" s="15" t="str">
        <x:v>00106 invalid and blank ISO</x:v>
      </x:c>
      <x:c r="F13" s="15" t="str">
        <x:v>invalid date coerced</x:v>
      </x:c>
    </x:row>
    <x:row r="14">
      <x:c r="A14" s="15" t="n">
        <x:v>10</x:v>
      </x:c>
      <x:c r="B14" s="15" t="str">
        <x:v>Load to Cleaned table</x:v>
      </x:c>
      <x:c r="C14" s="15" t="str">
        <x:v>all</x:v>
      </x:c>
      <x:c r="D14" s="15" t="str">
        <x:v>Separate analytical layer</x:v>
      </x:c>
      <x:c r="E14" s="15" t="str">
        <x:v>8 rows and 15 fields</x:v>
      </x:c>
      <x:c r="F14" s="15" t="str">
        <x:v>raw and cleaned mixed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7fc0b5a6446343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3" max="3" width="16" hidden="0" customWidth="1"/>
    <x:col min="4" max="4" width="28" hidden="0" customWidth="1"/>
  </x:cols>
  <x:sheetData>
    <x:row r="1" ht="28" customHeight="1">
      <x:c r="A1" s="3" t="str">
        <x:v>Pivot check — expected summary</x:v>
      </x:c>
      <x:c r="B1" s="3" t="str">
        <x:v>Pivot check — expected summary</x:v>
      </x:c>
      <x:c r="C1" s="3" t="str">
        <x:v>Pivot check — expected summary</x:v>
      </x:c>
      <x:c r="D1" s="3" t="str">
        <x:v>Pivot check — expected summary</x:v>
      </x:c>
    </x:row>
    <x:row r="2" ht="34" customHeight="1">
      <x:c r="A2" s="7" t="str">
        <x:v>Create a native PivotTable from Cleaned with object_type_normalized in Rows and record_id in Values (Count). Compare it with these formula-backed checks.</x:v>
      </x:c>
      <x:c r="B2" s="7" t="str">
        <x:v>Create a native PivotTable from Cleaned with object_type_normalized in Rows and record_id in Values (Count). Compare it with these formula-backed checks.</x:v>
      </x:c>
      <x:c r="C2" s="7" t="str">
        <x:v>Create a native PivotTable from Cleaned with object_type_normalized in Rows and record_id in Values (Count). Compare it with these formula-backed checks.</x:v>
      </x:c>
      <x:c r="D2" s="7" t="str">
        <x:v>Create a native PivotTable from Cleaned with object_type_normalized in Rows and record_id in Values (Count). Compare it with these formula-backed checks.</x:v>
      </x:c>
    </x:row>
    <x:row r="4" ht="32" customHeight="1">
      <x:c r="A4" s="12" t="str">
        <x:v>object_type_normalized</x:v>
      </x:c>
      <x:c r="B4" s="12" t="str">
        <x:v>Formula count</x:v>
      </x:c>
      <x:c r="C4" s="12" t="str">
        <x:v>Share</x:v>
      </x:c>
      <x:c r="D4" s="12" t="str">
        <x:v>Independent manual count</x:v>
      </x:c>
    </x:row>
    <x:row r="5">
      <x:c r="A5" s="9" t="str">
        <x:v>photograph</x:v>
      </x:c>
      <x:c r="B5" s="9" t="n">
        <x:f>COUNTIF('Cleaned'!$G$5:$G$12,A5)</x:f>
        <x:v>3</x:v>
      </x:c>
      <x:c r="C5" s="24" t="n">
        <x:f>B5/$B$8</x:f>
        <x:v>0.375</x:v>
      </x:c>
      <x:c r="D5" s="9" t="n">
        <x:v>3</x:v>
      </x:c>
    </x:row>
    <x:row r="6">
      <x:c r="A6" s="9" t="str">
        <x:v>postcard</x:v>
      </x:c>
      <x:c r="B6" s="9" t="n">
        <x:f>COUNTIF('Cleaned'!$G$5:$G$12,A6)</x:f>
        <x:v>4</x:v>
      </x:c>
      <x:c r="C6" s="24" t="n">
        <x:f>B6/$B$8</x:f>
        <x:v>0.5</x:v>
      </x:c>
      <x:c r="D6" s="9" t="n">
        <x:v>4</x:v>
      </x:c>
    </x:row>
    <x:row r="7">
      <x:c r="A7" s="9" t="str">
        <x:v>unknown</x:v>
      </x:c>
      <x:c r="B7" s="9" t="n">
        <x:f>COUNTIF('Cleaned'!$G$5:$G$12,A7)</x:f>
        <x:v>1</x:v>
      </x:c>
      <x:c r="C7" s="24" t="n">
        <x:f>B7/$B$8</x:f>
        <x:v>0.125</x:v>
      </x:c>
      <x:c r="D7" s="9" t="n">
        <x:v>1</x:v>
      </x:c>
    </x:row>
    <x:row r="8">
      <x:c r="A8" s="29" t="str">
        <x:v>Total</x:v>
      </x:c>
      <x:c r="B8" s="29" t="n">
        <x:f>SUM(B5:B7)</x:f>
        <x:v>8</x:v>
      </x:c>
      <x:c r="C8" s="30" t="n">
        <x:f>SUM(C5:C7)</x:f>
        <x:v>1</x:v>
      </x:c>
      <x:c r="D8" s="29" t="n">
        <x:v>8</x:v>
      </x:c>
    </x:row>
    <x:row r="10" ht="36" customHeight="1">
      <x:c r="A10" s="33" t="str">
        <x:v>Interpretation check: this summary describes eight retained fictional records. It does not measure a real collection. Unknown is retained in the denominator.</x:v>
      </x:c>
      <x:c r="B10" s="33"/>
      <x:c r="C10" s="33"/>
      <x:c r="D10" s="33"/>
    </x:row>
    <x:row r="11" ht="36" customHeight="1">
      <x:c r="A11" s="33" t="str">
        <x:v>Refresh test: add one controlled row to a copy of the raw CSV, refresh your query and PivotTable, and confirm that exactly one category count and the total increase by one.</x:v>
      </x:c>
      <x:c r="B11" s="33"/>
      <x:c r="C11" s="33"/>
      <x:c r="D11" s="33"/>
    </x:row>
  </x:sheetData>
  <x:mergeCells>
    <x:mergeCell ref="A1:D1"/>
    <x:mergeCell ref="A2:D2"/>
    <x:mergeCell ref="A10:D10"/>
    <x:mergeCell ref="A11:D1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 ht="28" customHeight="1">
      <x:c r="A1" s="3" t="str">
        <x:v>Chart data — formula-linked and transparent</x:v>
      </x:c>
      <x:c r="B1" s="3" t="str">
        <x:v>Chart data — formula-linked and transparent</x:v>
      </x:c>
      <x:c r="C1" s="3" t="str">
        <x:v>Chart data — formula-linked and transparent</x:v>
      </x:c>
      <x:c r="D1" s="3" t="str">
        <x:v>Chart data — formula-linked and transparent</x:v>
      </x:c>
      <x:c r="E1" s="3" t="str">
        <x:v>Chart data — formula-linked and transparent</x:v>
      </x:c>
      <x:c r="F1" s="3" t="str">
        <x:v>Chart data — formula-linked and transparent</x:v>
      </x:c>
      <x:c r="G1" s="3" t="str">
        <x:v>Chart data — formula-linked and transparent</x:v>
      </x:c>
      <x:c r="H1" s="3" t="str">
        <x:v>Chart data — formula-linked and transparent</x:v>
      </x:c>
      <x:c r="I1" s="3" t="str">
        <x:v>Chart data — formula-linked and transparent</x:v>
      </x:c>
    </x:row>
    <x:row r="2" ht="34" customHeight="1">
      <x:c r="A2" s="7" t="str">
        <x:v>The chart reads from formulas linked to Pivot Check. Keep the denominator, category definition, exclusions and source visible beside any exported chart.</x:v>
      </x:c>
      <x:c r="B2" s="7" t="str">
        <x:v>The chart reads from formulas linked to Pivot Check. Keep the denominator, category definition, exclusions and source visible beside any exported chart.</x:v>
      </x:c>
      <x:c r="C2" s="7" t="str">
        <x:v>The chart reads from formulas linked to Pivot Check. Keep the denominator, category definition, exclusions and source visible beside any exported chart.</x:v>
      </x:c>
      <x:c r="D2" s="7" t="str">
        <x:v>The chart reads from formulas linked to Pivot Check. Keep the denominator, category definition, exclusions and source visible beside any exported chart.</x:v>
      </x:c>
      <x:c r="E2" s="7" t="str">
        <x:v>The chart reads from formulas linked to Pivot Check. Keep the denominator, category definition, exclusions and source visible beside any exported chart.</x:v>
      </x:c>
      <x:c r="F2" s="7" t="str">
        <x:v>The chart reads from formulas linked to Pivot Check. Keep the denominator, category definition, exclusions and source visible beside any exported chart.</x:v>
      </x:c>
      <x:c r="G2" s="7" t="str">
        <x:v>The chart reads from formulas linked to Pivot Check. Keep the denominator, category definition, exclusions and source visible beside any exported chart.</x:v>
      </x:c>
      <x:c r="H2" s="7" t="str">
        <x:v>The chart reads from formulas linked to Pivot Check. Keep the denominator, category definition, exclusions and source visible beside any exported chart.</x:v>
      </x:c>
      <x:c r="I2" s="7" t="str">
        <x:v>The chart reads from formulas linked to Pivot Check. Keep the denominator, category definition, exclusions and source visible beside any exported chart.</x:v>
      </x:c>
    </x:row>
    <x:row r="4" ht="32" customHeight="1">
      <x:c r="A4" s="12" t="str">
        <x:v>Normalized object type</x:v>
      </x:c>
      <x:c r="B4" s="12" t="str">
        <x:v>Record count</x:v>
      </x:c>
    </x:row>
    <x:row r="5">
      <x:c r="A5" s="9" t="str">
        <x:v>photograph</x:v>
      </x:c>
      <x:c r="B5" s="9" t="n">
        <x:f>'Pivot Check'!B5</x:f>
        <x:v>3</x:v>
      </x:c>
    </x:row>
    <x:row r="6">
      <x:c r="A6" s="9" t="str">
        <x:v>postcard</x:v>
      </x:c>
      <x:c r="B6" s="9" t="n">
        <x:f>'Pivot Check'!B6</x:f>
        <x:v>4</x:v>
      </x:c>
    </x:row>
    <x:row r="7">
      <x:c r="A7" s="9" t="str">
        <x:v>unknown</x:v>
      </x:c>
      <x:c r="B7" s="9" t="n">
        <x:f>'Pivot Check'!B7</x:f>
        <x:v>1</x:v>
      </x:c>
    </x:row>
    <x:row r="9" ht="36" customHeight="1">
      <x:c r="A9" s="36" t="str">
        <x:v>Caption: Retained fictional catalogue records by normalized object type (n = 8).</x:v>
      </x:c>
      <x:c r="B9" s="36"/>
      <x:c r="C9" s="36"/>
    </x:row>
    <x:row r="10" ht="48" customHeight="1">
      <x:c r="A10" s="36" t="str">
        <x:v>Source: Digital Humanities Handbook, Fictional Postcard Catalogue Teaching Dataset, version 1.0.</x:v>
      </x:c>
      <x:c r="B10" s="36"/>
      <x:c r="C10" s="36"/>
    </x:row>
    <x:row r="11" ht="54" customHeight="1">
      <x:c r="A11" s="36" t="str">
        <x:v>Transformations/exclusions: source labels mapped to two categories plus unknown; one exact duplicate and TEST-01 excluded.</x:v>
      </x:c>
      <x:c r="B11" s="36"/>
      <x:c r="C11" s="36"/>
    </x:row>
  </x:sheetData>
  <x:mergeCells>
    <x:mergeCell ref="A1:I1"/>
    <x:mergeCell ref="A2:I2"/>
    <x:mergeCell ref="A9:C9"/>
    <x:mergeCell ref="A10:C10"/>
    <x:mergeCell ref="A11:C11"/>
  </x:mergeCells>
  <x:pageMargins left="0.7" right="0.7" top="0.75" bottom="0.75" header="0.3" footer="0.3"/>
  <x:drawing xmlns:r="http://schemas.openxmlformats.org/officeDocument/2006/relationships" r:id="R12f94bcf06834842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18" hidden="0" customWidth="1"/>
    <x:col min="4" max="4" width="16" hidden="0" customWidth="1"/>
  </x:cols>
  <x:sheetData>
    <x:row r="1" ht="28" customHeight="1">
      <x:c r="A1" s="3" t="str">
        <x:v>Validation — independent checks</x:v>
      </x:c>
      <x:c r="B1" s="3" t="str">
        <x:v>Validation — independent checks</x:v>
      </x:c>
      <x:c r="C1" s="3" t="str">
        <x:v>Validation — independent checks</x:v>
      </x:c>
      <x:c r="D1" s="3" t="str">
        <x:v>Validation — independent checks</x:v>
      </x:c>
    </x:row>
    <x:row r="2" ht="34" customHeight="1">
      <x:c r="A2" s="7" t="str">
        <x:v>Expected values were counted independently from the raw identifiers. Formula cells point only to the cleaned and summary layers.</x:v>
      </x:c>
      <x:c r="B2" s="7" t="str">
        <x:v>Expected values were counted independently from the raw identifiers. Formula cells point only to the cleaned and summary layers.</x:v>
      </x:c>
      <x:c r="C2" s="7" t="str">
        <x:v>Expected values were counted independently from the raw identifiers. Formula cells point only to the cleaned and summary layers.</x:v>
      </x:c>
      <x:c r="D2" s="7" t="str">
        <x:v>Expected values were counted independently from the raw identifiers. Formula cells point only to the cleaned and summary layers.</x:v>
      </x:c>
    </x:row>
    <x:row r="4" ht="32" customHeight="1">
      <x:c r="A4" s="12" t="str">
        <x:v>Check</x:v>
      </x:c>
      <x:c r="B4" s="12" t="str">
        <x:v>Expected</x:v>
      </x:c>
      <x:c r="C4" s="12" t="str">
        <x:v>Calculated</x:v>
      </x:c>
      <x:c r="D4" s="12" t="str">
        <x:v>Status</x:v>
      </x:c>
    </x:row>
    <x:row r="5">
      <x:c r="A5" s="9" t="str">
        <x:v>Accepted rows</x:v>
      </x:c>
      <x:c r="B5" s="9" t="n">
        <x:v>8</x:v>
      </x:c>
      <x:c r="C5" s="9" t="n">
        <x:f>COUNTA('Cleaned'!A5:A12)</x:f>
        <x:v>8</x:v>
      </x:c>
      <x:c r="D5" s="9" t="str">
        <x:f>IF(ABS(B5-C5)&lt;0.0001,"PASS","CHECK")</x:f>
        <x:v>PASS</x:v>
      </x:c>
    </x:row>
    <x:row r="6">
      <x:c r="A6" s="9" t="str">
        <x:v>Pivot total</x:v>
      </x:c>
      <x:c r="B6" s="9" t="n">
        <x:v>8</x:v>
      </x:c>
      <x:c r="C6" s="9" t="n">
        <x:f>SUM('Pivot Check'!B5:B7)</x:f>
        <x:v>8</x:v>
      </x:c>
      <x:c r="D6" s="9" t="str">
        <x:f>IF(ABS(B6-C6)&lt;0.0001,"PASS","CHECK")</x:f>
        <x:v>PASS</x:v>
      </x:c>
    </x:row>
    <x:row r="7">
      <x:c r="A7" s="9" t="str">
        <x:v>Unknown categories</x:v>
      </x:c>
      <x:c r="B7" s="9" t="n">
        <x:v>1</x:v>
      </x:c>
      <x:c r="C7" s="9" t="n">
        <x:f>COUNTIF('Cleaned'!G5:G12,"unknown")</x:f>
        <x:v>1</x:v>
      </x:c>
      <x:c r="D7" s="9" t="str">
        <x:f>IF(ABS(B7-C7)&lt;0.0001,"PASS","CHECK")</x:f>
        <x:v>PASS</x:v>
      </x:c>
    </x:row>
    <x:row r="8">
      <x:c r="A8" s="9" t="str">
        <x:v>Leading-zero ID retained</x:v>
      </x:c>
      <x:c r="B8" s="9" t="n">
        <x:v>1</x:v>
      </x:c>
      <x:c r="C8" s="9" t="n">
        <x:f>COUNTIF('Cleaned'!A5:A12,"00009")</x:f>
        <x:v>1</x:v>
      </x:c>
      <x:c r="D8" s="9" t="str">
        <x:f>IF(ABS(B8-C8)&lt;0.0001,"PASS","CHECK")</x:f>
        <x:v>PASS</x:v>
      </x:c>
    </x:row>
    <x:row r="9">
      <x:c r="A9" s="9" t="str">
        <x:v>Invalid dates flagged</x:v>
      </x:c>
      <x:c r="B9" s="9" t="n">
        <x:v>1</x:v>
      </x:c>
      <x:c r="C9" s="9" t="n">
        <x:f>COUNTIF('Cleaned'!K5:K12,"invalid")</x:f>
        <x:v>1</x:v>
      </x:c>
      <x:c r="D9" s="9" t="str">
        <x:f>IF(ABS(B9-C9)&lt;0.0001,"PASS","CHECK")</x:f>
        <x:v>PASS</x:v>
      </x:c>
    </x:row>
    <x:row r="10">
      <x:c r="A10" s="9" t="str">
        <x:v>Missing view values</x:v>
      </x:c>
      <x:c r="B10" s="9" t="n">
        <x:v>1</x:v>
      </x:c>
      <x:c r="C10" s="9" t="n">
        <x:f>COUNTBLANK('Cleaned'!L5:L12)</x:f>
        <x:v>1</x:v>
      </x:c>
      <x:c r="D10" s="9" t="str">
        <x:f>IF(ABS(B10-C10)&lt;0.0001,"PASS","CHECK")</x:f>
        <x:v>PASS</x:v>
      </x:c>
    </x:row>
    <x:row r="11">
      <x:c r="A11" s="9" t="str">
        <x:v>Category shares sum</x:v>
      </x:c>
      <x:c r="B11" s="24" t="n">
        <x:v>1</x:v>
      </x:c>
      <x:c r="C11" s="24" t="n">
        <x:f>SUM('Pivot Check'!C5:C7)</x:f>
        <x:v>1</x:v>
      </x:c>
      <x:c r="D11" s="9" t="str">
        <x:f>IF(ABS(B11-C11)&lt;0.0001,"PASS","CHECK")</x:f>
        <x:v>PASS</x:v>
      </x:c>
    </x:row>
  </x:sheetData>
  <x:mergeCells>
    <x:mergeCell ref="A1:D1"/>
    <x:mergeCell ref="A2:D2"/>
  </x:mergeCells>
  <x:conditionalFormatting sqref="D5:D11">
    <x:cfRule type="containsText" dxfId="0" priority="1" operator="containsText" text="PASS"/>
    <x:cfRule type="containsText" dxfId="1" priority="2" operator="containsText" text="CHECK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31" hidden="0" customWidth="1"/>
    <x:col min="3" max="3" width="58" hidden="0" customWidth="1"/>
    <x:col min="4" max="4" width="40" hidden="0" customWidth="1"/>
  </x:cols>
  <x:sheetData>
    <x:row r="1" ht="28" customHeight="1">
      <x:c r="A1" s="3" t="str">
        <x:v>Known problems — deliberate traps</x:v>
      </x:c>
      <x:c r="B1" s="3" t="str">
        <x:v>Known problems — deliberate traps</x:v>
      </x:c>
      <x:c r="C1" s="3" t="str">
        <x:v>Known problems — deliberate traps</x:v>
      </x:c>
      <x:c r="D1" s="3" t="str">
        <x:v>Known problems — deliberate traps</x:v>
      </x:c>
    </x:row>
    <x:row r="2" ht="34" customHeight="1">
      <x:c r="A2" s="7" t="str">
        <x:v>Use this sheet to test import and cleaning decisions. A successful workflow preserves evidence and records uncertainty rather than merely producing a tidy table.</x:v>
      </x:c>
      <x:c r="B2" s="7" t="str">
        <x:v>Use this sheet to test import and cleaning decisions. A successful workflow preserves evidence and records uncertainty rather than merely producing a tidy table.</x:v>
      </x:c>
      <x:c r="C2" s="7" t="str">
        <x:v>Use this sheet to test import and cleaning decisions. A successful workflow preserves evidence and records uncertainty rather than merely producing a tidy table.</x:v>
      </x:c>
      <x:c r="D2" s="7" t="str">
        <x:v>Use this sheet to test import and cleaning decisions. A successful workflow preserves evidence and records uncertainty rather than merely producing a tidy table.</x:v>
      </x:c>
    </x:row>
    <x:row r="4" ht="32" customHeight="1">
      <x:c r="A4" s="12" t="str">
        <x:v>Problem</x:v>
      </x:c>
      <x:c r="B4" s="12" t="str">
        <x:v>Where</x:v>
      </x:c>
      <x:c r="C4" s="12" t="str">
        <x:v>Required response</x:v>
      </x:c>
      <x:c r="D4" s="12" t="str">
        <x:v>Do not do</x:v>
      </x:c>
    </x:row>
    <x:row r="5">
      <x:c r="A5" s="15" t="str">
        <x:v>Leading zeros</x:v>
      </x:c>
      <x:c r="B5" s="15" t="str">
        <x:v>record_id 00009</x:v>
      </x:c>
      <x:c r="C5" s="15" t="str">
        <x:v>Import identifier as text</x:v>
      </x:c>
      <x:c r="D5" s="15" t="str">
        <x:v>Convert it to 9</x:v>
      </x:c>
    </x:row>
    <x:row r="6">
      <x:c r="A6" s="15" t="str">
        <x:v>Exact duplicate</x:v>
      </x:c>
      <x:c r="B6" s="15" t="str">
        <x:v>second 00105</x:v>
      </x:c>
      <x:c r="C6" s="15" t="str">
        <x:v>Exclude once and log the rule</x:v>
      </x:c>
      <x:c r="D6" s="15" t="str">
        <x:v>Delete both rows</x:v>
      </x:c>
    </x:row>
    <x:row r="7">
      <x:c r="A7" s="15" t="str">
        <x:v>Test row</x:v>
      </x:c>
      <x:c r="B7" s="15" t="str">
        <x:v>TEST-01</x:v>
      </x:c>
      <x:c r="C7" s="15" t="str">
        <x:v>Filter through an explicit step</x:v>
      </x:c>
      <x:c r="D7" s="15" t="str">
        <x:v>Delete from raw file</x:v>
      </x:c>
    </x:row>
    <x:row r="8">
      <x:c r="A8" s="15" t="str">
        <x:v>Locale-sensitive numbers</x:v>
      </x:c>
      <x:c r="B8" s="15" t="str">
        <x:v>1.204 and 1 125</x:v>
      </x:c>
      <x:c r="C8" s="15" t="str">
        <x:v>Apply the documented source convention and test known values</x:v>
      </x:c>
      <x:c r="D8" s="15" t="str">
        <x:v>Trust automatic detection</x:v>
      </x:c>
    </x:row>
    <x:row r="9">
      <x:c r="A9" s="15" t="str">
        <x:v>Mixed date precision</x:v>
      </x:c>
      <x:c r="B9" s="15" t="str">
        <x:v>date_raw</x:v>
      </x:c>
      <x:c r="C9" s="15" t="str">
        <x:v>Separate display, normalized value, precision and status</x:v>
      </x:c>
      <x:c r="D9" s="15" t="str">
        <x:v>Invent missing days</x:v>
      </x:c>
    </x:row>
    <x:row r="10">
      <x:c r="A10" s="15" t="str">
        <x:v>Impossible date</x:v>
      </x:c>
      <x:c r="B10" s="15" t="str">
        <x:v>00106</x:v>
      </x:c>
      <x:c r="C10" s="15" t="str">
        <x:v>Flag invalid and leave ISO date blank</x:v>
      </x:c>
      <x:c r="D10" s="15" t="str">
        <x:v>Silently coerce</x:v>
      </x:c>
    </x:row>
    <x:row r="11">
      <x:c r="A11" s="15" t="str">
        <x:v>Missing values</x:v>
      </x:c>
      <x:c r="B11" s="15" t="str">
        <x:v>creator, views, type, date</x:v>
      </x:c>
      <x:c r="C11" s="15" t="str">
        <x:v>Keep missingness explicit</x:v>
      </x:c>
      <x:c r="D11" s="15" t="str">
        <x:v>Replace with zero or guesses</x:v>
      </x:c>
    </x:row>
    <x:row r="12">
      <x:c r="A12" s="15" t="str">
        <x:v>Historical/bilingual places</x:v>
      </x:c>
      <x:c r="B12" s="15" t="str">
        <x:v>Laibach; Koper / Capodistria</x:v>
      </x:c>
      <x:c r="C12" s="15" t="str">
        <x:v>Retain source form beside reviewed grouping</x:v>
      </x:c>
      <x:c r="D12" s="15" t="str">
        <x:v>Erase the source wording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d3af0318ee464b2b"/>
  </x:tableParts>
</x:worksheet>
</file>